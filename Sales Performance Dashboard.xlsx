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0"/>
  <workbookPr codeName="ThisWorkbook" hidePivotFieldList="1" defaultThemeVersion="124226"/>
  <mc:AlternateContent xmlns:mc="http://schemas.openxmlformats.org/markup-compatibility/2006">
    <mc:Choice Requires="x15">
      <x15ac:absPath xmlns:x15ac="http://schemas.microsoft.com/office/spreadsheetml/2010/11/ac" url="C:\Users\surbh\Desktop\data analytics\"/>
    </mc:Choice>
  </mc:AlternateContent>
  <xr:revisionPtr revIDLastSave="0" documentId="13_ncr:1_{CD2F4E9A-39D4-4A5B-B355-EFABF1B25FBB}"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vot" sheetId="4" r:id="rId2"/>
    <sheet name="dasahboard" sheetId="7" r:id="rId3"/>
  </sheets>
  <definedNames>
    <definedName name="_xlcn.WorksheetConnection_dataA1S15011" hidden="1">data!$A$1:$S$1501</definedName>
    <definedName name="Slicer_Date__Quarter">#N/A</definedName>
    <definedName name="Slicer_Date__Year">#N/A</definedName>
    <definedName name="Slicer_PaymentMethod">#N/A</definedName>
    <definedName name="Slicer_Product">#N/A</definedName>
    <definedName name="Slicer_Region">#N/A</definedName>
  </definedNames>
  <calcPr calcId="191029"/>
  <pivotCaches>
    <pivotCache cacheId="11" r:id="rId4"/>
    <pivotCache cacheId="12" r:id="rId5"/>
    <pivotCache cacheId="13" r:id="rId6"/>
    <pivotCache cacheId="14" r:id="rId7"/>
    <pivotCache cacheId="15" r:id="rId8"/>
    <pivotCache cacheId="16" r:id="rId9"/>
    <pivotCache cacheId="17" r:id="rId10"/>
    <pivotCache cacheId="18" r:id="rId11"/>
    <pivotCache cacheId="19" r:id="rId12"/>
    <pivotCache cacheId="20" r:id="rId13"/>
  </pivotCaches>
  <extLst>
    <ext xmlns:x14="http://schemas.microsoft.com/office/spreadsheetml/2009/9/main" uri="{876F7934-8845-4945-9796-88D515C7AA90}">
      <x14:pivotCaches>
        <pivotCache cacheId="21" r:id="rId14"/>
      </x14:pivotCaches>
    </ex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data!$A$1:$S$1501"/>
        </x15:modelTables>
        <x15:extLst>
          <ext xmlns:x16="http://schemas.microsoft.com/office/spreadsheetml/2014/11/main" uri="{9835A34E-60A6-4A7C-AAB8-D5F71C897F49}">
            <x16:modelTimeGroupings>
              <x16:modelTimeGrouping tableName="Rang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 tableName="Range" columnName="DeliveryDate" columnId="DeliveryDate">
                <x16:calculatedTimeColumn columnName="DeliveryDate (Year)" columnId="DeliveryDate (Year)" contentType="years" isSelected="1"/>
                <x16:calculatedTimeColumn columnName="DeliveryDate (Quarter)" columnId="DeliveryDate (Quarter)" contentType="quarters" isSelected="1"/>
                <x16:calculatedTimeColumn columnName="DeliveryDate (Month Index)" columnId="DeliveryDate (Month Index)" contentType="monthsindex" isSelected="1"/>
                <x16:calculatedTimeColumn columnName="DeliveryDate (Month)" columnId="Delivery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CCAA94-CBB8-407B-9244-043B4495BC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D797951-61D4-4CBD-B5C5-39E4DE47AFF3}" name="WorksheetConnection_data!$A$1:$S$1501" type="102" refreshedVersion="8" minRefreshableVersion="5">
    <extLst>
      <ext xmlns:x15="http://schemas.microsoft.com/office/spreadsheetml/2010/11/main" uri="{DE250136-89BD-433C-8126-D09CA5730AF9}">
        <x15:connection id="Range" autoDelete="1">
          <x15:rangePr sourceName="_xlcn.WorksheetConnection_dataA1S15011"/>
        </x15:connection>
      </ext>
    </extLst>
  </connection>
</connections>
</file>

<file path=xl/sharedStrings.xml><?xml version="1.0" encoding="utf-8"?>
<sst xmlns="http://schemas.openxmlformats.org/spreadsheetml/2006/main" count="14711" uniqueCount="2939">
  <si>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</si>
  <si>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</si>
  <si>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</si>
  <si>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</si>
  <si>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</si>
  <si>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</si>
  <si>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</si>
  <si>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</si>
  <si>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</si>
  <si>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</si>
  <si>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</si>
  <si>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</si>
  <si>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</si>
  <si>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</si>
  <si>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</si>
  <si>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</si>
  <si>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</si>
  <si>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</si>
  <si>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</si>
  <si>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</si>
  <si>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</si>
  <si>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</si>
  <si>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</si>
  <si>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</si>
  <si>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</si>
  <si>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</si>
  <si>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</si>
  <si>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</si>
  <si>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</si>
  <si>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</si>
  <si>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</si>
  <si>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</si>
  <si>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</si>
  <si>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</si>
  <si>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</si>
  <si>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</si>
  <si>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</si>
  <si>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</si>
  <si>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</si>
  <si>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</si>
  <si>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</si>
  <si>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</si>
  <si>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</si>
  <si>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</si>
  <si>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</si>
  <si>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</si>
  <si>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</si>
  <si>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</si>
  <si>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</si>
  <si>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</si>
  <si>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</si>
  <si>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</si>
  <si>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</si>
  <si>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</si>
  <si>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</si>
  <si>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</si>
  <si>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</si>
  <si>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</si>
  <si>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</si>
  <si>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</si>
  <si>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</si>
  <si>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</si>
  <si>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</si>
  <si>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</si>
  <si>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</si>
  <si>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</si>
  <si>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</si>
  <si>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</si>
  <si>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</si>
  <si>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</si>
  <si>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</si>
  <si>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</si>
  <si>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</si>
  <si>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</si>
  <si>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</si>
  <si>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</si>
  <si>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</si>
  <si>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</si>
  <si>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</si>
  <si>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</si>
  <si>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</si>
  <si>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</si>
  <si>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</si>
  <si>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</si>
  <si>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</si>
  <si>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</si>
  <si>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</si>
  <si>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</si>
  <si>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</si>
  <si>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</si>
  <si>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</si>
  <si>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</si>
  <si>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</si>
  <si>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</si>
  <si>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</si>
  <si>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</si>
  <si>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</si>
  <si>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</si>
  <si>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</si>
  <si>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</si>
  <si>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</si>
  <si>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</si>
  <si>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</si>
  <si>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</si>
  <si>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</si>
  <si>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</si>
  <si>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</si>
  <si>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</si>
  <si>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</si>
  <si>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</si>
  <si>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</si>
  <si>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</si>
  <si>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</si>
  <si>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</si>
  <si>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</si>
  <si>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</si>
  <si>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</si>
  <si>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</si>
  <si>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</si>
  <si>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</si>
  <si>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</si>
  <si>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</si>
  <si>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</si>
  <si>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</si>
  <si>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</si>
  <si>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</si>
  <si>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</si>
  <si>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</si>
  <si>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</si>
  <si>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</si>
  <si>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</si>
  <si>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</si>
  <si>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</si>
  <si>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</si>
  <si>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</si>
  <si>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</si>
  <si>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</si>
  <si>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</si>
  <si>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</si>
  <si>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</si>
  <si>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</si>
  <si>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</si>
  <si>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</si>
  <si>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</si>
  <si>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</si>
  <si>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</si>
  <si>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</si>
  <si>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</si>
  <si>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</si>
  <si>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</si>
  <si>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</si>
  <si>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</si>
  <si>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</si>
  <si>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</si>
  <si>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</si>
  <si>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</si>
  <si>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</si>
  <si>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</si>
  <si>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</si>
  <si>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</si>
  <si>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</si>
  <si>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</si>
  <si>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</si>
  <si>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</si>
  <si>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</si>
  <si>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</si>
  <si>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</si>
  <si>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</si>
  <si>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</si>
  <si>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</si>
  <si>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</si>
  <si>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</si>
  <si>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</si>
  <si>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</si>
  <si>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</si>
  <si>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</si>
  <si>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</si>
  <si>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</si>
  <si>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</si>
  <si>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</si>
  <si>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</si>
  <si>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</si>
  <si>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</si>
  <si>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</si>
  <si>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</si>
  <si>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</si>
  <si>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</si>
  <si>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</si>
  <si>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</si>
  <si>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</si>
  <si>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</si>
  <si>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</si>
  <si>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</si>
  <si>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</si>
  <si>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</si>
  <si>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</si>
  <si>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</si>
  <si>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</si>
  <si>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</si>
  <si>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</si>
  <si>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</si>
  <si>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</si>
  <si>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</si>
  <si>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</si>
  <si>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</si>
  <si>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</si>
  <si>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</si>
  <si>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</si>
  <si>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</si>
  <si>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</si>
  <si>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</si>
  <si>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</si>
  <si>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</si>
  <si>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</si>
  <si>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</si>
  <si>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</si>
  <si>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</si>
  <si>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</si>
  <si>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</si>
  <si>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</si>
  <si>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</si>
  <si>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</si>
  <si>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</si>
  <si>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</si>
  <si>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</si>
  <si>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</si>
  <si>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</si>
  <si>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</si>
  <si>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</si>
  <si>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</si>
  <si>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</si>
  <si>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</si>
  <si>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</si>
  <si>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</si>
  <si>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</si>
  <si>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</si>
  <si>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</si>
  <si>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</si>
  <si>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</si>
  <si>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</si>
  <si>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</si>
  <si>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</si>
  <si>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</si>
  <si>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</si>
  <si>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</si>
  <si>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</si>
  <si>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</si>
  <si>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</si>
  <si>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</si>
  <si>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</si>
  <si>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</si>
  <si>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</si>
  <si>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</si>
  <si>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</si>
  <si>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</si>
  <si>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</si>
  <si>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</si>
  <si>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</si>
  <si>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</si>
  <si>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</si>
  <si>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</si>
  <si>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</si>
  <si>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</si>
  <si>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</si>
  <si>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</si>
  <si>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</si>
  <si>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</si>
  <si>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</si>
  <si>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</si>
  <si>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</si>
  <si>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</si>
  <si>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</si>
  <si>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</si>
  <si>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</si>
  <si>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</si>
  <si>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</si>
  <si>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</si>
  <si>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</si>
  <si>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</si>
  <si>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</si>
  <si>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</si>
  <si>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</si>
  <si>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</si>
  <si>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</si>
  <si>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</si>
  <si>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</si>
  <si>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</si>
  <si>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</si>
  <si>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</si>
  <si>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</si>
  <si>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</si>
  <si>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</si>
  <si>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</si>
  <si>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</si>
  <si>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</si>
  <si>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</si>
  <si>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</si>
  <si>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</si>
  <si>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</si>
  <si>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</si>
  <si>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</si>
  <si>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</si>
  <si>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</si>
  <si>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</si>
  <si>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</si>
  <si>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</si>
  <si>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</si>
  <si>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</si>
  <si>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</si>
  <si>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</si>
  <si>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</si>
  <si>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</si>
  <si>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</si>
  <si>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</si>
  <si>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</si>
  <si>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</si>
  <si>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</si>
  <si>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</si>
  <si>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</si>
  <si>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</si>
  <si>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</si>
  <si>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</si>
  <si>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</si>
  <si>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</si>
  <si>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</si>
  <si>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</si>
  <si>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</si>
  <si>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</si>
  <si>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</si>
  <si>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</si>
  <si>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</si>
  <si>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</si>
  <si>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</si>
  <si>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</si>
  <si>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</si>
  <si>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</si>
  <si>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</si>
  <si>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</si>
  <si>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</si>
  <si>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</si>
  <si>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</si>
  <si>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</si>
  <si>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</si>
  <si>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</si>
  <si>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</si>
  <si>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</si>
  <si>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</si>
  <si>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</si>
  <si>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</si>
  <si>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</si>
  <si>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</si>
  <si>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</si>
  <si>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</si>
  <si>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</si>
  <si>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</si>
  <si>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</si>
  <si>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</si>
  <si>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</si>
  <si>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</si>
  <si>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</si>
  <si>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</si>
  <si>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</si>
  <si>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</si>
  <si>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</si>
  <si>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</si>
  <si>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</si>
  <si>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</si>
  <si>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</si>
  <si>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</si>
  <si>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</si>
  <si>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</si>
  <si>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</si>
  <si>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</si>
  <si>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</si>
  <si>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</si>
  <si>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</si>
  <si>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</si>
  <si>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</si>
  <si>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</si>
  <si>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</si>
  <si>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</si>
  <si>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</si>
  <si>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</si>
  <si>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</si>
  <si>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</si>
  <si>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</si>
  <si>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</si>
  <si>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</si>
  <si>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</si>
  <si>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</si>
  <si>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</si>
  <si>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</si>
  <si>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</si>
  <si>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</si>
  <si>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</si>
  <si>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</si>
  <si>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</si>
  <si>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</si>
  <si>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</si>
  <si>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</si>
  <si>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</si>
  <si>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</si>
  <si>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</si>
  <si>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</si>
  <si>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</si>
  <si>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</si>
  <si>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</si>
  <si>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</si>
  <si>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</si>
  <si>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</si>
  <si>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</si>
  <si>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</si>
  <si>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</si>
  <si>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</si>
  <si>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</si>
  <si>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</si>
  <si>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</si>
  <si>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</si>
  <si>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</si>
  <si>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</si>
  <si>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</si>
  <si>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</si>
  <si>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</si>
  <si>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</si>
  <si>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</si>
  <si>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</si>
  <si>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</si>
  <si>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</si>
  <si>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</si>
  <si>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</si>
  <si>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</si>
  <si>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</si>
  <si>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</si>
  <si>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</si>
  <si>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</si>
  <si>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</si>
  <si>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</si>
  <si>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</si>
  <si>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</si>
  <si>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</si>
  <si>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</si>
  <si>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</si>
  <si>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</si>
  <si>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</si>
  <si>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</si>
  <si>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</si>
  <si>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</si>
  <si>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</si>
  <si>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</si>
  <si>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</si>
  <si>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</si>
  <si>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</si>
  <si>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</si>
  <si>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</si>
  <si>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</si>
  <si>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</si>
  <si>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</si>
  <si>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</si>
  <si>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</si>
  <si>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</si>
  <si>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</si>
  <si>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</si>
  <si>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</si>
  <si>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</si>
  <si>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</si>
  <si>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</si>
  <si>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</si>
  <si>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</si>
  <si>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</si>
  <si>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</si>
  <si>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</si>
  <si>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</si>
  <si>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</si>
  <si>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</si>
  <si>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</si>
  <si>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</si>
  <si>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</si>
  <si>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</si>
  <si>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</si>
  <si>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</si>
  <si>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</si>
  <si>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</si>
  <si>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</si>
  <si>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</si>
  <si>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</si>
  <si>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</si>
  <si>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</si>
  <si>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</si>
  <si>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</si>
  <si>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</si>
  <si>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</si>
  <si>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</si>
  <si>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</si>
  <si>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</si>
  <si>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</si>
  <si>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</si>
  <si>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</si>
  <si>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</si>
  <si>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</si>
  <si>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</si>
  <si>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</si>
  <si>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</si>
  <si>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</si>
  <si>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</si>
  <si>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</si>
  <si>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</si>
  <si>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</si>
  <si>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</si>
  <si>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</si>
  <si>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</si>
  <si>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</si>
  <si>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</si>
  <si>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</si>
  <si>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</si>
  <si>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</si>
  <si>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</si>
  <si>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</si>
  <si>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</si>
  <si>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</si>
  <si>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</si>
  <si>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</si>
  <si>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</si>
  <si>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</si>
  <si>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</si>
  <si>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</si>
  <si>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</si>
  <si>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</si>
  <si>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</si>
  <si>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</si>
  <si>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</si>
  <si>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</si>
  <si>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</si>
  <si>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</si>
  <si>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</si>
  <si>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</si>
  <si>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</si>
  <si>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</si>
  <si>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</si>
  <si>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</si>
  <si>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</si>
  <si>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</si>
  <si>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</si>
  <si>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</si>
  <si>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</si>
  <si>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</si>
  <si>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</si>
  <si>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</si>
  <si>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</si>
  <si>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</si>
  <si>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</si>
  <si>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</si>
  <si>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</si>
  <si>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</si>
  <si>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</si>
  <si>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</si>
  <si>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</si>
  <si>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</si>
  <si>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</si>
  <si>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</si>
  <si>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</si>
  <si>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</si>
  <si>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</si>
  <si>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</si>
  <si>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</si>
  <si>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</si>
  <si>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</si>
  <si>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</si>
  <si>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</si>
  <si>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</si>
  <si>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</si>
  <si>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</si>
  <si>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</si>
  <si>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</si>
  <si>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</si>
  <si>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</si>
  <si>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</si>
  <si>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</si>
  <si>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</si>
  <si>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</si>
  <si>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</si>
  <si>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</si>
  <si>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</si>
  <si>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</si>
  <si>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</si>
  <si>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</si>
  <si>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</si>
  <si>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</si>
  <si>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</si>
  <si>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</si>
  <si>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</si>
  <si>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</si>
  <si>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</si>
  <si>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</si>
  <si>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</si>
  <si>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</si>
  <si>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</si>
  <si>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</si>
  <si>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</si>
  <si>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</si>
  <si>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</si>
  <si>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</si>
  <si>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</si>
  <si>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</si>
  <si>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</si>
  <si>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</si>
  <si>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</si>
  <si>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</si>
  <si>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</si>
  <si>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</si>
  <si>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</si>
  <si>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</si>
  <si>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</si>
  <si>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</si>
  <si>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</si>
  <si>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</si>
  <si>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</si>
  <si>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</si>
  <si>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</si>
  <si>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</si>
  <si>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</si>
  <si>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</si>
  <si>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</si>
  <si>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</si>
  <si>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</si>
  <si>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</si>
  <si>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</si>
  <si>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</si>
  <si>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</si>
  <si>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</si>
  <si>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</si>
  <si>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</si>
  <si>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</si>
  <si>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</si>
  <si>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</si>
  <si>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</si>
  <si>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</si>
  <si>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</si>
  <si>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</si>
  <si>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</si>
  <si>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</si>
  <si>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</si>
  <si>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</si>
  <si>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</si>
  <si>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</si>
  <si>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</si>
  <si>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</si>
  <si>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</si>
  <si>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</si>
  <si>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</si>
  <si>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</si>
  <si>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</si>
  <si>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</si>
  <si>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</si>
  <si>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</si>
  <si>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</si>
  <si>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</si>
  <si>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</si>
  <si>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</si>
  <si>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</si>
  <si>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</si>
  <si>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</si>
  <si>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</si>
  <si>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</si>
  <si>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</si>
  <si>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</si>
  <si>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</si>
  <si>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</si>
  <si>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</si>
  <si>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</si>
  <si>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</si>
  <si>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</si>
  <si>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</si>
  <si>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</si>
  <si>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</si>
  <si>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</si>
  <si>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</si>
  <si>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</si>
  <si>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</si>
  <si>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</si>
  <si>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</si>
  <si>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</si>
  <si>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</si>
  <si>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</si>
  <si>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</si>
  <si>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</si>
  <si>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</si>
  <si>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</si>
  <si>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</si>
  <si>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</si>
  <si>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</si>
  <si>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</si>
  <si>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</si>
  <si>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</si>
  <si>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</si>
  <si>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</si>
  <si>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</si>
  <si>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</si>
  <si>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</si>
  <si>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</si>
  <si>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</si>
  <si>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</si>
  <si>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</si>
  <si>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</si>
  <si>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</si>
  <si>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</si>
  <si>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</si>
  <si>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</si>
  <si>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</si>
  <si>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</si>
  <si>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</si>
  <si>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</si>
  <si>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</si>
  <si>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</si>
  <si>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</si>
  <si>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</si>
  <si>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</si>
  <si>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</si>
  <si>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</si>
  <si>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</si>
  <si>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</si>
  <si>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</si>
  <si>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</si>
  <si>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</si>
  <si>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</si>
  <si>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</si>
  <si>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</si>
  <si>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</si>
  <si>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</si>
  <si>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</si>
  <si>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</si>
  <si>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</si>
  <si>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</si>
  <si>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</si>
  <si>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</si>
  <si>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</si>
  <si>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</si>
  <si>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</si>
  <si>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</si>
  <si>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</si>
  <si>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</si>
  <si>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</si>
  <si>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</si>
  <si>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</si>
  <si>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</si>
  <si>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</si>
  <si>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</si>
  <si>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</si>
  <si>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</si>
  <si>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</si>
  <si>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</si>
  <si>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</si>
  <si>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</si>
  <si>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</si>
  <si>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</si>
  <si>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</si>
  <si>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</si>
  <si>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</si>
  <si>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</si>
  <si>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</si>
  <si>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</si>
  <si>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</si>
  <si>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</si>
  <si>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</si>
  <si>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</si>
  <si>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</si>
  <si>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</si>
  <si>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</si>
  <si>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</si>
  <si>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</si>
  <si>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</si>
  <si>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</si>
  <si>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</si>
  <si>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</si>
  <si>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</si>
  <si>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</si>
  <si>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</si>
  <si>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</si>
  <si>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</si>
  <si>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</si>
  <si>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</si>
  <si>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</si>
  <si>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</si>
  <si>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</si>
  <si>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</si>
  <si>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</si>
  <si>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</si>
  <si>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</si>
  <si>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</si>
  <si>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</si>
  <si>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</si>
  <si>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</si>
  <si>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</si>
  <si>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</si>
  <si>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</si>
  <si>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</si>
  <si>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</si>
  <si>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</si>
  <si>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</si>
  <si>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</si>
  <si>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</si>
  <si>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</si>
  <si>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</si>
  <si>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</si>
  <si>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</si>
  <si>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</si>
  <si>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</si>
  <si>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</si>
  <si>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</si>
  <si>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</si>
  <si>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</si>
  <si>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</si>
  <si>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</si>
  <si>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</si>
  <si>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</si>
  <si>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</si>
  <si>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</si>
  <si>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</si>
  <si>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</si>
  <si>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</si>
  <si>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</si>
  <si>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</si>
  <si>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</si>
  <si>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</si>
  <si>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</si>
  <si>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</si>
  <si>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</si>
  <si>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</si>
  <si>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</si>
  <si>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</si>
  <si>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</si>
  <si>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</si>
  <si>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</si>
  <si>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</si>
  <si>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</si>
  <si>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</si>
  <si>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</si>
  <si>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</si>
  <si>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</si>
  <si>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</si>
  <si>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</si>
  <si>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</si>
  <si>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</si>
  <si>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</si>
  <si>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</si>
  <si>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</si>
  <si>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</si>
  <si>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</si>
  <si>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</si>
  <si>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</si>
  <si>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</si>
  <si>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</si>
  <si>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</si>
  <si>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</si>
  <si>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</si>
  <si>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</si>
  <si>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</si>
  <si>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</si>
  <si>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</si>
  <si>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</si>
  <si>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</si>
  <si>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</si>
  <si>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</si>
  <si>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</si>
  <si>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</si>
  <si>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</si>
  <si>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</si>
  <si>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</si>
  <si>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</si>
  <si>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</si>
  <si>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</si>
  <si>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</si>
  <si>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</si>
  <si>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</si>
  <si>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</si>
  <si>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</si>
  <si>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</si>
  <si>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</si>
  <si>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</si>
  <si>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</si>
  <si>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</si>
  <si>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</si>
  <si>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</si>
  <si>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</si>
  <si>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</si>
  <si>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</si>
  <si>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</si>
  <si>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</si>
  <si>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</si>
  <si>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</si>
  <si>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</si>
  <si>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</si>
  <si>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</si>
  <si>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</si>
  <si>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</si>
  <si>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</si>
  <si>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</si>
  <si>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</si>
  <si>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</si>
  <si>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</si>
  <si>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</si>
  <si>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</si>
  <si>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</si>
  <si>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</si>
  <si>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</si>
  <si>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</si>
  <si>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</si>
  <si>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</si>
  <si>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</si>
  <si>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</si>
  <si>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</si>
  <si>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</si>
  <si>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</si>
  <si>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</si>
  <si>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</si>
  <si>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</si>
  <si>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</si>
  <si>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</si>
  <si>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</si>
  <si>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</si>
  <si>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</si>
  <si>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</si>
  <si>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</si>
  <si>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</si>
  <si>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</si>
  <si>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</si>
  <si>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</si>
  <si>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</si>
  <si>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</si>
  <si>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</si>
  <si>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</si>
  <si>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</si>
  <si>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</si>
  <si>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</si>
  <si>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</si>
  <si>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</si>
  <si>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</si>
  <si>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</si>
  <si>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</si>
  <si>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</si>
  <si>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</si>
  <si>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</si>
  <si>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</si>
  <si>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</si>
  <si>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</si>
  <si>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</si>
  <si>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</si>
  <si>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</si>
  <si>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</si>
  <si>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</si>
  <si>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</si>
  <si>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</si>
  <si>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</si>
  <si>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</si>
  <si>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</si>
  <si>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</si>
  <si>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</si>
  <si>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</si>
  <si>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</si>
  <si>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</si>
  <si>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</si>
  <si>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</si>
  <si>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</si>
  <si>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</si>
  <si>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</si>
  <si>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</si>
  <si>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</si>
  <si>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</si>
  <si>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</si>
  <si>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</si>
  <si>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</si>
  <si>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</si>
  <si>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</si>
  <si>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</si>
  <si>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</si>
  <si>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</si>
  <si>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</si>
  <si>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</si>
  <si>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</si>
  <si>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</si>
  <si>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</si>
  <si>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</si>
  <si>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</si>
  <si>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</si>
  <si>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</si>
  <si>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</si>
  <si>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</si>
  <si>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</si>
  <si>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</si>
  <si>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</si>
  <si>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</si>
  <si>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</si>
  <si>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</si>
  <si>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</si>
  <si>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</si>
  <si>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</si>
  <si>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</si>
  <si>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</si>
  <si>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</si>
  <si>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</si>
  <si>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</si>
  <si>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</si>
  <si>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</si>
  <si>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</si>
  <si>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</si>
  <si>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</si>
  <si>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</si>
  <si>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</si>
  <si>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</si>
  <si>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</si>
  <si>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</si>
  <si>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</si>
  <si>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</si>
  <si>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</si>
  <si>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</si>
  <si>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</si>
  <si>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</si>
  <si>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</si>
  <si>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</si>
  <si>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</si>
  <si>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</si>
  <si>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</si>
  <si>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</si>
  <si>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</si>
  <si>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</si>
  <si>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</si>
  <si>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</si>
  <si>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</si>
  <si>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</si>
  <si>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</si>
  <si>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</si>
  <si>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</si>
  <si>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</si>
  <si>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</si>
  <si>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</si>
  <si>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</si>
  <si>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</si>
  <si>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</si>
  <si>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</si>
  <si>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</si>
  <si>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</si>
  <si>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</si>
  <si>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</si>
  <si>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</si>
  <si>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</si>
  <si>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</si>
  <si>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</si>
  <si>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</si>
  <si>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</si>
  <si>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</si>
  <si>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</si>
  <si>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</si>
  <si>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</si>
  <si>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</si>
  <si>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</si>
  <si>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</si>
  <si>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</si>
  <si>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</si>
  <si>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</si>
  <si>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</si>
  <si>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</si>
  <si>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</si>
  <si>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</si>
  <si>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</si>
  <si>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</si>
  <si>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</si>
  <si>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</si>
  <si>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</si>
  <si>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</si>
  <si>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</si>
  <si>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</si>
  <si>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</si>
  <si>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</si>
  <si>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</si>
  <si>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</si>
  <si>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</si>
  <si>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</si>
  <si>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</si>
  <si>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</si>
  <si>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</si>
  <si>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</si>
  <si>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</si>
  <si>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</si>
  <si>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</si>
  <si>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</si>
  <si>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</si>
  <si>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</si>
  <si>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</si>
  <si>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</si>
  <si>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</si>
  <si>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</si>
  <si>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</si>
  <si>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</si>
  <si>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</si>
  <si>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</si>
  <si>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</si>
  <si>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</si>
  <si>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</si>
  <si>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</si>
  <si>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</si>
  <si>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</si>
  <si>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</si>
  <si>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</si>
  <si>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</si>
  <si>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</si>
  <si>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</si>
  <si>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</si>
  <si>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</si>
  <si>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</si>
  <si>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</si>
  <si>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</si>
  <si>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</si>
  <si>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</si>
  <si>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</si>
  <si>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</si>
  <si>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</si>
  <si>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</si>
  <si>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</si>
  <si>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</si>
  <si>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</si>
  <si>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</si>
  <si>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</si>
  <si>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</si>
  <si>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</si>
  <si>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</si>
  <si>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</si>
  <si>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</si>
  <si>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</si>
  <si>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</si>
  <si>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</si>
  <si>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</si>
  <si>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</si>
  <si>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</si>
  <si>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</si>
  <si>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</si>
  <si>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</si>
  <si>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</si>
  <si>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</si>
  <si>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</si>
  <si>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</si>
  <si>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</si>
  <si>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</si>
  <si>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</si>
  <si>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</si>
  <si>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</si>
  <si>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</si>
  <si>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</si>
  <si>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</si>
  <si>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</si>
  <si>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</si>
  <si>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</si>
  <si>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</si>
  <si>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</si>
  <si>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</si>
  <si>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</si>
  <si>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</si>
  <si>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</si>
  <si>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</si>
  <si>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</si>
  <si>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</si>
  <si>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</si>
  <si>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</si>
  <si>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</si>
  <si>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</si>
  <si>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</si>
  <si>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</si>
  <si>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</si>
  <si>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</si>
  <si>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</si>
  <si>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</si>
  <si>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</si>
  <si>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</si>
  <si>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</si>
  <si>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</si>
  <si>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</si>
  <si>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</si>
  <si>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</si>
  <si>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</si>
  <si>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</si>
  <si>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</si>
  <si>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</si>
  <si>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</si>
  <si>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</si>
  <si>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</si>
  <si>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</si>
  <si>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</si>
  <si>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</si>
  <si>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</si>
  <si>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</si>
  <si>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</si>
  <si>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</si>
  <si>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</si>
  <si>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</si>
  <si>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</si>
  <si>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</si>
  <si>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</si>
  <si>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</si>
  <si>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</si>
  <si>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</si>
  <si>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</si>
  <si>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</si>
  <si>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</si>
  <si>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</si>
  <si>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</si>
  <si>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</si>
  <si>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</si>
  <si>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</si>
  <si>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</si>
  <si>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</si>
  <si>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</si>
  <si>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</si>
  <si>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</si>
  <si>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</si>
  <si>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</si>
  <si>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</si>
  <si>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</si>
  <si>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</si>
  <si>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</si>
  <si>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</si>
  <si>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</si>
  <si>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</si>
  <si>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</si>
  <si>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</si>
  <si>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</si>
  <si>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</si>
  <si>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</si>
  <si>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</si>
  <si>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</si>
  <si>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</si>
  <si>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</si>
  <si>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</si>
  <si>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</si>
  <si>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</si>
  <si>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</si>
  <si>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</si>
  <si>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</si>
  <si>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</si>
  <si>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</si>
  <si>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</si>
  <si>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</si>
  <si>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</si>
  <si>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</si>
  <si>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</si>
  <si>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</si>
  <si>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</si>
  <si>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</si>
  <si>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</si>
  <si>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</si>
  <si>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</si>
  <si>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</si>
  <si>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</si>
  <si>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</si>
  <si>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</si>
  <si>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</si>
  <si>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</si>
  <si>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</si>
  <si>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</si>
  <si>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</si>
  <si>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</si>
  <si>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</si>
  <si>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</si>
  <si>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</si>
  <si>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</si>
  <si>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</si>
  <si>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</si>
  <si>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</si>
  <si>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</si>
  <si>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</si>
  <si>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</si>
  <si>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</si>
  <si>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</si>
  <si>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</si>
  <si>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</si>
  <si>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</si>
  <si>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</si>
  <si>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</si>
  <si>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</si>
  <si>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</si>
  <si>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</si>
  <si>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</si>
  <si>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</si>
  <si>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</si>
  <si>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</si>
  <si>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</si>
  <si>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</si>
  <si>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</si>
  <si>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</si>
  <si>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</si>
  <si>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</si>
  <si>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</si>
  <si>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</si>
  <si>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</si>
  <si>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</si>
  <si>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</si>
  <si>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</si>
  <si>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</si>
  <si>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</si>
  <si>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</si>
  <si>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</si>
  <si>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</si>
  <si>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</si>
  <si>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</si>
  <si>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</si>
  <si>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</si>
  <si>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</si>
  <si>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</si>
  <si>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</si>
  <si>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</si>
  <si>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</si>
  <si>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</si>
  <si>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</si>
  <si>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</si>
  <si>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</si>
  <si>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</si>
  <si>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</si>
  <si>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</si>
  <si>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</si>
  <si>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</si>
  <si>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</si>
  <si>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</si>
  <si>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</si>
  <si>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</si>
  <si>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</si>
  <si>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</si>
  <si>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</si>
  <si>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</si>
  <si>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</si>
  <si>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</si>
  <si>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</si>
  <si>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</si>
  <si>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</si>
  <si>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</si>
  <si>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</si>
  <si>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</si>
  <si>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</si>
  <si>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</si>
  <si>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</si>
  <si>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</si>
  <si>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</si>
  <si>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</si>
  <si>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</si>
  <si>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</si>
  <si>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</si>
  <si>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</si>
  <si>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</si>
  <si>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</si>
  <si>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</si>
  <si>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</si>
  <si>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</si>
  <si>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</si>
  <si>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</si>
  <si>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</si>
  <si>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</si>
  <si>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</si>
  <si>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</si>
  <si>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</si>
  <si>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</si>
  <si>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</si>
  <si>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</si>
  <si>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</si>
  <si>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</si>
  <si>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</si>
  <si>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</si>
  <si>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</si>
  <si>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</si>
  <si>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</si>
  <si>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</si>
  <si>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</si>
  <si>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</si>
  <si>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</si>
  <si>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</si>
  <si>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</si>
  <si>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</si>
  <si>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</si>
  <si>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</si>
  <si>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</si>
  <si>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</si>
  <si>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</si>
  <si>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</si>
  <si>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</si>
  <si>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</si>
  <si>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</si>
  <si>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</si>
  <si>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</si>
  <si>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</si>
  <si>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</si>
  <si>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</si>
  <si>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</si>
  <si>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</si>
  <si>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</si>
  <si>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</si>
  <si>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</si>
  <si>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</si>
  <si>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</si>
  <si>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</si>
  <si>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</si>
  <si>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</si>
  <si>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</si>
  <si>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</si>
  <si>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</si>
  <si>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</si>
  <si>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</si>
  <si>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</si>
  <si>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</si>
  <si>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</si>
  <si>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</si>
  <si>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</si>
  <si>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</si>
  <si>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</si>
  <si>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</si>
  <si>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</si>
  <si>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</si>
  <si>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</si>
  <si>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</si>
  <si>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</si>
  <si>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</si>
  <si>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</si>
  <si>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</si>
  <si>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</si>
  <si>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</si>
  <si>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</si>
  <si>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</si>
  <si>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</si>
  <si>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</si>
  <si>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</si>
  <si>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</si>
  <si>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</si>
  <si>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</si>
  <si>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</si>
  <si>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</si>
  <si>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</si>
  <si>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</si>
  <si>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</si>
  <si>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</si>
  <si>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</si>
  <si>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</si>
  <si>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</si>
  <si>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</si>
  <si>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</si>
  <si>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</si>
  <si>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</si>
  <si>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</si>
  <si>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</si>
  <si>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</si>
  <si>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</si>
  <si>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</si>
  <si>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</si>
  <si>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</si>
  <si>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</si>
  <si>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</si>
  <si>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</si>
  <si>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</si>
  <si>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</si>
  <si>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</si>
  <si>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</si>
  <si>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</si>
  <si>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</si>
  <si>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</si>
  <si>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</si>
  <si>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</si>
  <si>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</si>
  <si>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</si>
  <si>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</si>
  <si>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</si>
  <si>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</si>
  <si>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</si>
  <si>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</si>
  <si>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</si>
  <si>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</si>
  <si>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</si>
  <si>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</si>
  <si>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</si>
  <si>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</si>
  <si>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</si>
  <si>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</si>
  <si>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</si>
  <si>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</si>
  <si>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</si>
  <si>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</si>
  <si>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</si>
  <si>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</si>
  <si>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</si>
  <si>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</si>
  <si>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</si>
  <si>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</si>
  <si>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</si>
  <si>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</si>
  <si>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</si>
  <si>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</si>
  <si>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</si>
  <si>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</si>
  <si>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</si>
  <si>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</si>
  <si>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</si>
  <si>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</si>
  <si>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</si>
  <si>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</si>
  <si>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</si>
  <si>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</si>
  <si>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</si>
  <si>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</si>
  <si>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</si>
  <si>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</si>
  <si>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</si>
  <si>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</si>
  <si>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</si>
  <si>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</si>
  <si>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</si>
  <si>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</si>
  <si>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</si>
  <si>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</si>
  <si>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</si>
  <si>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</si>
  <si>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</si>
  <si>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</si>
  <si>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</si>
  <si>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</si>
  <si>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</si>
  <si>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</si>
  <si>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</si>
  <si>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</si>
  <si>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</si>
  <si>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</si>
  <si>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</si>
  <si>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</si>
  <si>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</si>
  <si>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</si>
  <si>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</si>
  <si>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</si>
  <si>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</si>
  <si>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</si>
  <si>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</si>
  <si>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</si>
  <si>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</si>
  <si>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</si>
  <si>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</si>
  <si>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</si>
  <si>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</si>
  <si>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</si>
  <si>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</si>
  <si>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</si>
  <si>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</si>
  <si>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</si>
  <si>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</si>
  <si>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</si>
  <si>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</si>
  <si>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</si>
  <si>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</si>
  <si>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</si>
  <si>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</si>
  <si>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</si>
  <si>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</si>
  <si>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</si>
  <si>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</si>
  <si>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</si>
  <si>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</si>
  <si>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</si>
  <si>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</si>
  <si>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</si>
  <si>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</si>
  <si>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</si>
  <si>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</si>
  <si>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</si>
  <si>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</si>
  <si>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</si>
  <si>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</si>
  <si>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</si>
  <si>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</si>
  <si>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</si>
  <si>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</si>
  <si>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</si>
  <si>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</si>
  <si>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</si>
  <si>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</si>
  <si>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</si>
  <si>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</si>
  <si>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</si>
  <si>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</si>
  <si>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</si>
  <si>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</si>
  <si>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</si>
  <si>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</si>
  <si>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</si>
  <si>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</si>
  <si>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</si>
  <si>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</si>
  <si>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</si>
  <si>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</si>
  <si>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</si>
  <si>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</si>
  <si>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</si>
  <si>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</si>
  <si>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</si>
  <si>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</si>
  <si>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</si>
  <si>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</si>
  <si>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</si>
  <si>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</si>
  <si>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</si>
  <si>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</si>
  <si>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</si>
  <si>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</si>
  <si>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</si>
  <si>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</si>
  <si>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</si>
  <si>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</si>
  <si>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</si>
  <si>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</si>
  <si>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</si>
  <si>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</si>
  <si>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</si>
  <si>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</si>
  <si>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</si>
  <si>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</si>
  <si>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</si>
  <si>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</si>
  <si>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</si>
  <si>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</si>
  <si>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</si>
  <si>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</si>
  <si>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</si>
  <si>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</si>
  <si>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</si>
  <si>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</si>
  <si>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</si>
  <si>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</si>
  <si>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</si>
  <si>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</si>
  <si>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</si>
  <si>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</si>
  <si>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</si>
  <si>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</si>
  <si>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</si>
  <si>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</si>
  <si>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</si>
  <si>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</si>
  <si>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</si>
  <si>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</si>
  <si>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</si>
  <si>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</si>
  <si>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</si>
  <si>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</si>
  <si>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</si>
  <si>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</si>
  <si>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</si>
  <si>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</si>
  <si>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</si>
  <si>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</si>
  <si>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</si>
  <si>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</si>
  <si>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</si>
  <si>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</si>
  <si>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</si>
  <si>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</si>
  <si>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</si>
  <si>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</si>
  <si>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</si>
  <si>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</si>
  <si>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</si>
  <si>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</si>
  <si>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</si>
  <si>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</si>
  <si>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</si>
  <si>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</si>
  <si>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</si>
  <si>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</si>
  <si>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</si>
  <si>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</si>
  <si>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</si>
  <si>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</si>
  <si>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</si>
  <si>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</si>
  <si>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</si>
  <si>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</si>
  <si>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</si>
  <si>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</si>
  <si>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</si>
  <si>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</si>
  <si>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</si>
  <si>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</si>
  <si>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</si>
  <si>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</si>
  <si>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</si>
  <si>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</si>
  <si>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</si>
  <si>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</si>
  <si>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</si>
  <si>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</si>
  <si>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</si>
  <si>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</si>
  <si>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</si>
  <si>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</si>
  <si>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</si>
  <si>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</si>
  <si>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</si>
  <si>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</si>
  <si>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</si>
  <si>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</si>
  <si>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</si>
  <si>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</si>
  <si>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</si>
  <si>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</si>
  <si>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</si>
  <si>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</si>
  <si>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</si>
  <si>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</si>
  <si>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</si>
  <si>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</si>
  <si>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</si>
  <si>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</si>
  <si>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</si>
  <si>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</si>
  <si>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</si>
  <si>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</si>
  <si>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</si>
  <si>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</si>
  <si>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</si>
  <si>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</si>
  <si>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</si>
  <si>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</si>
  <si>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</si>
  <si>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</si>
  <si>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</si>
  <si>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</si>
  <si>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</si>
  <si>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</si>
  <si>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</si>
  <si>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</si>
  <si>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</si>
  <si>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</si>
  <si>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</si>
  <si>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</si>
  <si>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</si>
  <si>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</si>
  <si>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</si>
  <si>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</si>
  <si>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</si>
  <si>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</si>
  <si>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</si>
  <si>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</si>
  <si>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</si>
  <si>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</si>
  <si>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</si>
  <si>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</si>
  <si>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</si>
  <si>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</si>
  <si>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</si>
  <si>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</si>
  <si>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</si>
  <si>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</si>
  <si>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</si>
  <si>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</si>
  <si>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</si>
  <si>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</si>
  <si>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</si>
  <si>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</si>
  <si>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</si>
  <si>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</si>
  <si>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</si>
  <si>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</si>
  <si>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</si>
  <si>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</si>
  <si>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</si>
  <si>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</si>
  <si>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</si>
  <si>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</si>
  <si>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</si>
  <si>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</si>
  <si>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</si>
  <si>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</si>
  <si>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</si>
  <si>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</si>
  <si>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</si>
  <si>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</si>
  <si>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</si>
  <si>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</si>
  <si>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</si>
  <si>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</si>
  <si>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</si>
  <si>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</si>
  <si>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</si>
  <si>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</si>
  <si>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</si>
  <si>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</si>
  <si>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</si>
  <si>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</si>
  <si>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</si>
  <si>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</si>
  <si>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</si>
  <si>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</si>
  <si>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</si>
  <si>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</si>
  <si>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</si>
  <si>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</si>
  <si>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</si>
  <si>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</si>
  <si>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</si>
  <si>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</si>
  <si>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</si>
  <si>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</si>
  <si>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</si>
  <si>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</si>
  <si>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</si>
  <si>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</si>
  <si>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</si>
  <si>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</si>
  <si>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</si>
  <si>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</si>
  <si>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</si>
  <si>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</si>
  <si>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</si>
  <si>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</si>
  <si>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</si>
  <si>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</si>
  <si>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</si>
  <si>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</si>
  <si>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</si>
  <si>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</si>
  <si>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</si>
  <si>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</si>
  <si>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</si>
  <si>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</si>
  <si>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</si>
  <si>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</si>
  <si>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</si>
  <si>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</si>
  <si>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</si>
  <si>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</si>
  <si>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</si>
  <si>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</si>
  <si>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</si>
  <si>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</si>
  <si>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</si>
  <si>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</si>
  <si>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</si>
  <si>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</si>
  <si>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</si>
  <si>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</si>
  <si>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</si>
  <si>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</si>
  <si>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</si>
  <si>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</si>
  <si>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</si>
  <si>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</si>
  <si>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</si>
  <si>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</si>
  <si>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</si>
  <si>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</si>
  <si>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</si>
  <si>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</si>
  <si>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</si>
  <si>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</si>
  <si>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</si>
  <si>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</si>
  <si>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</si>
  <si>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</si>
  <si>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</si>
  <si>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</si>
  <si>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</si>
  <si>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</si>
  <si>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</si>
  <si>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</si>
  <si>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</si>
  <si>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</si>
  <si>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</si>
  <si>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</si>
  <si>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</si>
  <si>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</si>
  <si>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</si>
  <si>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</si>
  <si>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</si>
  <si>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</si>
  <si>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</si>
  <si>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</si>
  <si>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</si>
  <si>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</si>
  <si>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</si>
  <si>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</si>
  <si>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</si>
  <si>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</si>
  <si>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</si>
  <si>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</si>
  <si>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</si>
  <si>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</si>
  <si>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</si>
  <si>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</si>
  <si>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</si>
  <si>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</si>
  <si>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</si>
  <si>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</si>
  <si>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</si>
  <si>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</si>
  <si>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</si>
  <si>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</si>
  <si>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</si>
  <si>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</si>
  <si>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</si>
  <si>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</si>
  <si>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</si>
  <si>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</si>
  <si>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</si>
  <si>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</si>
  <si>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</si>
  <si>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</si>
  <si>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</si>
  <si>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</si>
  <si>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</si>
  <si>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</si>
  <si>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</si>
  <si>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</si>
  <si>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</si>
  <si>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</si>
  <si>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</si>
  <si>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</si>
  <si>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</si>
  <si>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</si>
  <si>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</si>
  <si>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</si>
  <si>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</si>
  <si>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</si>
  <si>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</si>
  <si>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</si>
  <si>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</si>
  <si>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</si>
  <si>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</si>
  <si>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</si>
  <si>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</si>
  <si>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</si>
  <si>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</si>
  <si>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</si>
  <si>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</si>
  <si>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</si>
  <si>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</si>
  <si>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</si>
  <si>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</si>
  <si>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</si>
  <si>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</si>
  <si>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</si>
  <si>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</si>
  <si>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</si>
  <si>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</si>
  <si>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</si>
  <si>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</si>
  <si>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</si>
  <si>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</si>
  <si>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</si>
  <si>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</si>
  <si>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</si>
  <si>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</si>
  <si>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</si>
  <si>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</si>
  <si>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</si>
  <si>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</si>
  <si>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</si>
  <si>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</si>
  <si>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</si>
  <si>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</si>
  <si>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</si>
  <si>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</si>
  <si>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</si>
  <si>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</si>
  <si>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</si>
  <si>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</si>
  <si>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</si>
  <si>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</si>
  <si>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</si>
  <si>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</si>
  <si>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</si>
  <si>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</si>
  <si>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</si>
  <si>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</si>
  <si>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</si>
  <si>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</si>
  <si>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</si>
  <si>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</si>
  <si>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</si>
  <si>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</si>
  <si>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</si>
  <si>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</si>
  <si>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</si>
  <si>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</si>
  <si>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</si>
  <si>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</si>
  <si>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</si>
  <si>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</si>
  <si>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</si>
  <si>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</si>
  <si>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</si>
  <si>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</si>
  <si>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</si>
  <si>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</si>
  <si>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</si>
  <si>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</si>
  <si>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</si>
  <si>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</si>
  <si>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</si>
  <si>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</si>
  <si>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</si>
  <si>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</si>
  <si>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</si>
  <si>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</si>
  <si>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</si>
  <si>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</si>
  <si>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</si>
  <si>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</si>
  <si>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</si>
  <si>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</si>
  <si>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</si>
  <si>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</si>
  <si>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</si>
  <si>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</si>
  <si>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</si>
  <si>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</si>
  <si>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</si>
  <si>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</si>
  <si>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</si>
  <si>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</si>
  <si>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</si>
  <si>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</si>
  <si>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</si>
  <si>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</si>
  <si>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</si>
  <si>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</si>
  <si>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</si>
  <si>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</si>
  <si>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</si>
  <si>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</si>
  <si>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</si>
  <si>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</si>
  <si>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</si>
  <si>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</si>
  <si>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</si>
  <si>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</si>
  <si>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</si>
  <si>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</si>
  <si>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</si>
  <si>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</si>
  <si>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</si>
  <si>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</si>
  <si>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</si>
  <si>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</si>
  <si>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</si>
  <si>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</si>
  <si>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</si>
  <si>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</si>
  <si>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</si>
  <si>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</si>
  <si>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</si>
  <si>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</si>
  <si>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</si>
  <si>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</si>
  <si>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</si>
  <si>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</si>
  <si>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</si>
  <si>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</si>
  <si>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</si>
  <si>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</si>
  <si>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</si>
  <si>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</si>
  <si>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</si>
  <si>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</si>
  <si>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</si>
  <si>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</si>
  <si>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</si>
  <si>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</si>
  <si>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</si>
  <si>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</si>
  <si>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</si>
  <si>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</si>
  <si>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</si>
  <si>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</si>
  <si>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</si>
  <si>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</si>
  <si>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</si>
  <si>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</si>
  <si>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</si>
  <si>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</si>
  <si>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</si>
  <si>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</si>
  <si>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</si>
  <si>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</si>
  <si>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</si>
  <si>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</si>
  <si>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</si>
  <si>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</si>
  <si>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</si>
  <si>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</si>
  <si>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</si>
  <si>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</si>
  <si>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</si>
  <si>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</si>
  <si>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</si>
  <si>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</si>
  <si>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</si>
  <si>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</si>
  <si>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</si>
  <si>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</si>
  <si>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</si>
  <si>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</si>
  <si>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</si>
  <si>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</si>
  <si>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</si>
  <si>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</si>
  <si>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</si>
  <si>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</si>
  <si>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</si>
  <si>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</si>
  <si>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</si>
  <si>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</si>
  <si>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</si>
  <si>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</si>
  <si>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</si>
  <si>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</si>
  <si>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</si>
  <si>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</si>
  <si>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</si>
  <si>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</si>
  <si>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</si>
  <si>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</si>
  <si>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</si>
  <si>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</si>
  <si>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</si>
  <si>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</si>
  <si>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</si>
  <si>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</si>
  <si>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</si>
  <si>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</si>
  <si>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</si>
  <si>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</si>
  <si>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</si>
  <si>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</si>
  <si>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</si>
  <si>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</si>
  <si>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</si>
  <si>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</si>
  <si>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</si>
  <si>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</si>
  <si>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</si>
  <si>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</si>
  <si>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</si>
  <si>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</si>
  <si>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</si>
  <si>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</si>
  <si>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</si>
  <si>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</si>
  <si>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</si>
  <si>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</si>
  <si>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</si>
  <si>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</si>
  <si>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</si>
  <si>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</si>
  <si>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</si>
  <si>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</si>
  <si>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</si>
  <si>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</si>
  <si>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</si>
  <si>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</si>
  <si>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</si>
  <si>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</si>
  <si>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</si>
  <si>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</si>
  <si>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</si>
  <si>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</si>
  <si>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</si>
  <si>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</si>
  <si>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</si>
  <si>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</si>
  <si>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</si>
  <si>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</si>
  <si>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</si>
  <si>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</si>
  <si>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</si>
  <si>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</si>
  <si>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</si>
  <si>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</si>
  <si>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</si>
  <si>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</si>
  <si>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</si>
  <si>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</si>
  <si>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</si>
  <si>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</si>
  <si>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</si>
  <si>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</si>
  <si>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</si>
  <si>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</si>
  <si>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</si>
  <si>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</si>
  <si>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</si>
  <si>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</si>
  <si>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</si>
  <si>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</si>
  <si>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</si>
  <si>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</si>
  <si>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</si>
  <si>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</si>
  <si>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</si>
  <si>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</si>
  <si>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</si>
  <si>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</si>
  <si>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</si>
  <si>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</si>
  <si>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</si>
  <si>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</si>
  <si>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</si>
  <si>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</si>
  <si>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</si>
  <si>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</si>
  <si>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</si>
  <si>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</si>
  <si>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</si>
  <si>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</si>
  <si>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</si>
  <si>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</si>
  <si>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</si>
  <si>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</si>
  <si>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</si>
  <si>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</si>
  <si>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</si>
  <si>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</si>
  <si>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</si>
  <si>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</si>
  <si>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</si>
  <si>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</si>
  <si>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</si>
  <si>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</si>
  <si>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</si>
  <si>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</si>
  <si>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</si>
  <si>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</si>
  <si>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</si>
  <si>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</si>
  <si>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</si>
  <si>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</si>
  <si>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</si>
  <si>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</si>
  <si>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</si>
  <si>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</si>
  <si>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</si>
  <si>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</si>
  <si>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</si>
  <si>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</si>
  <si>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</si>
  <si>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</si>
  <si>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</si>
  <si>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</si>
  <si>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</si>
  <si>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</si>
  <si>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</si>
  <si>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</si>
  <si>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</si>
  <si>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</si>
  <si>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</si>
  <si>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</si>
  <si>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</si>
  <si>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</si>
  <si>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</si>
  <si>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</si>
  <si>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</si>
  <si>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</si>
  <si>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</si>
  <si>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</si>
  <si>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</si>
  <si>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</si>
  <si>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</si>
  <si>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</si>
  <si>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</si>
  <si>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</si>
  <si>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</si>
  <si>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</si>
  <si>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</si>
  <si>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</si>
  <si>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</si>
  <si>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</si>
  <si>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</si>
  <si>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</si>
  <si>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</si>
  <si>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</si>
  <si>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</si>
  <si>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</si>
  <si>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</si>
  <si>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</si>
  <si>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</si>
  <si>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</si>
  <si>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</si>
  <si>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</si>
  <si>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</si>
  <si>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</si>
  <si>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</si>
  <si>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</si>
  <si>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</si>
  <si>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</si>
  <si>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</si>
  <si>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</si>
  <si>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</si>
  <si>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</si>
  <si>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</si>
  <si>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</si>
  <si>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</si>
  <si>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</si>
  <si>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</si>
  <si>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</si>
  <si>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</si>
  <si>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</si>
  <si>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</si>
  <si>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</si>
  <si>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</si>
  <si>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</si>
  <si>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</si>
  <si>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</si>
  <si>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</si>
  <si>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</si>
  <si>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</si>
  <si>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</si>
  <si>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</si>
  <si>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</si>
  <si>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</si>
  <si>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</si>
  <si>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</si>
  <si>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</si>
  <si>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</si>
  <si>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</si>
  <si>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</si>
  <si>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</si>
  <si>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</si>
  <si>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</si>
  <si>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</si>
  <si>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</si>
  <si>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</si>
  <si>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</si>
  <si>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</si>
  <si>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</si>
  <si>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</si>
  <si>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</si>
  <si>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</si>
  <si>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</si>
  <si>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</si>
  <si>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</si>
  <si>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</si>
  <si>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</si>
  <si>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</si>
  <si>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</si>
  <si>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</si>
  <si>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</si>
  <si>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</si>
  <si>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</si>
  <si>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</si>
  <si>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</si>
  <si>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</si>
  <si>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</si>
  <si>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</si>
  <si>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</si>
  <si>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</si>
  <si>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</si>
  <si>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</si>
  <si>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</si>
  <si>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</si>
  <si>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</si>
  <si>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</si>
  <si>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</si>
  <si>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</si>
  <si>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</si>
  <si>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</si>
  <si>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</si>
  <si>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</si>
  <si>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</si>
  <si>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</si>
  <si>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</si>
  <si>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</si>
  <si>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</si>
  <si>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</si>
  <si>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</si>
  <si>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</si>
  <si>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</si>
  <si>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</si>
  <si>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</si>
  <si>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</si>
  <si>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</si>
  <si>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</si>
  <si>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</si>
  <si>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</si>
  <si>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</si>
  <si>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</si>
  <si>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</si>
  <si>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</si>
  <si>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</si>
  <si>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</si>
  <si>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</si>
  <si>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</si>
  <si>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</si>
  <si>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</si>
  <si>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</si>
  <si>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</si>
  <si>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</si>
  <si>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</si>
  <si>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</si>
  <si>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</si>
  <si>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</si>
  <si>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</si>
  <si>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</si>
  <si>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</si>
  <si>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</si>
  <si>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</si>
  <si>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</si>
  <si>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</si>
  <si>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</si>
  <si>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</si>
  <si>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</si>
  <si>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</si>
  <si>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</si>
  <si>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</si>
  <si>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</si>
  <si>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</si>
  <si>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</si>
  <si>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</si>
  <si>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</si>
  <si>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</si>
  <si>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</si>
  <si>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</si>
  <si>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</si>
  <si>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</si>
  <si>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</si>
  <si>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</si>
  <si>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</si>
  <si>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</si>
  <si>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</si>
  <si>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</si>
  <si>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</si>
  <si>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</si>
  <si>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</si>
  <si>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</si>
  <si>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</si>
  <si>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</si>
  <si>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</si>
  <si>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</si>
  <si>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</si>
  <si>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</si>
  <si>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</si>
  <si>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</si>
  <si>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</si>
  <si>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</si>
  <si>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</si>
  <si>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</si>
  <si>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</si>
  <si>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</si>
  <si>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</si>
  <si>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</si>
  <si>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</si>
  <si>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</si>
  <si>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</si>
  <si>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</si>
  <si>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</si>
  <si>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</si>
  <si>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</si>
  <si>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</si>
  <si>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</si>
  <si>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</si>
  <si>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</si>
  <si>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</si>
  <si>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</si>
  <si>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</si>
  <si>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</si>
  <si>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</si>
  <si>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</si>
  <si>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</si>
  <si>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</si>
  <si>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</si>
  <si>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</si>
  <si>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</si>
  <si>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</si>
  <si>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</si>
  <si>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</si>
  <si>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</si>
  <si>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</si>
  <si>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</si>
  <si>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</si>
  <si>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</si>
  <si>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</si>
  <si>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</si>
  <si>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</si>
  <si>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</si>
  <si>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</si>
  <si>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</si>
  <si>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</si>
  <si>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</si>
  <si>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</si>
  <si>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</si>
  <si>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</si>
  <si>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</si>
  <si>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</si>
  <si>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</si>
  <si>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</si>
  <si>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</si>
  <si>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</si>
  <si>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</si>
  <si>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</si>
  <si>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</si>
  <si>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</si>
  <si>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</si>
  <si>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</si>
  <si>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</si>
  <si>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</si>
  <si>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</si>
  <si>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</si>
  <si>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</si>
  <si>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</si>
  <si>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</si>
  <si>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</si>
  <si>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</si>
  <si>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</si>
  <si>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</si>
  <si>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</si>
  <si>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</si>
  <si>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</si>
  <si>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</si>
  <si>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</si>
  <si>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</si>
  <si>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</si>
  <si>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</si>
  <si>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</si>
  <si>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</si>
  <si>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</si>
  <si>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</si>
  <si>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</si>
  <si>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</si>
  <si>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</si>
  <si>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</si>
  <si>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</si>
  <si>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</si>
  <si>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</si>
  <si>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</si>
  <si>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</si>
  <si>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</si>
  <si>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</si>
  <si>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</si>
  <si>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</si>
  <si>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</si>
  <si>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</si>
  <si>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</si>
  <si>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</si>
  <si>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</si>
  <si>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</si>
  <si>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</si>
  <si>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</si>
  <si>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</si>
  <si>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</si>
  <si>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</si>
  <si>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</si>
  <si>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</si>
  <si>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</si>
  <si>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</si>
  <si>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</si>
  <si>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</si>
  <si>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</si>
  <si>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</si>
  <si>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</si>
  <si>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</si>
  <si>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</si>
  <si>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</si>
  <si>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</si>
  <si>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</si>
  <si>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</si>
  <si>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</si>
  <si>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</si>
  <si>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</si>
  <si>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</si>
  <si>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</si>
  <si>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</si>
  <si>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</si>
  <si>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</si>
  <si>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</si>
  <si>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</si>
  <si>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</si>
  <si>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</si>
  <si>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</si>
  <si>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</si>
  <si>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</si>
  <si>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</si>
  <si>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</si>
  <si>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</si>
  <si>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</si>
  <si>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</si>
  <si>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</si>
  <si>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</si>
  <si>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</si>
  <si>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</si>
  <si>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</si>
  <si>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</si>
  <si>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</si>
  <si>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</si>
  <si>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</si>
  <si>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</si>
  <si>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</si>
  <si>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</si>
  <si>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</si>
  <si>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</si>
  <si>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</si>
  <si>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</si>
  <si>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</si>
  <si>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</si>
  <si>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</si>
  <si>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</si>
  <si>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</si>
  <si>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</si>
  <si>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</si>
  <si>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</si>
  <si>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</si>
  <si>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</si>
  <si>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</si>
  <si>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</si>
  <si>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</si>
  <si>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</si>
  <si>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</si>
  <si>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</si>
  <si>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</si>
  <si>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</si>
  <si>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</si>
  <si>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</si>
  <si>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</si>
  <si>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</si>
  <si>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</si>
  <si>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</si>
  <si>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</si>
  <si>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</si>
  <si>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</si>
  <si>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</si>
  <si>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</si>
  <si>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</si>
  <si>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</si>
  <si>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</si>
  <si>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</si>
  <si>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</si>
  <si>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</si>
  <si>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</si>
  <si>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</si>
  <si>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</si>
  <si>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</si>
  <si>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</si>
  <si>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</si>
  <si>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</si>
  <si>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</si>
  <si>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</si>
  <si>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</si>
  <si>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</si>
  <si>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</si>
  <si>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</si>
  <si>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</si>
  <si>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</si>
  <si>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</si>
  <si>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</si>
  <si>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</si>
  <si>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</si>
  <si>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</si>
  <si>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</si>
  <si>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</si>
  <si>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</si>
  <si>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</si>
  <si>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</si>
  <si>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</si>
  <si>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</si>
  <si>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</si>
  <si>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</si>
  <si>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</si>
  <si>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</si>
  <si>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</si>
  <si>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</si>
  <si>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</si>
  <si>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</si>
  <si>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</si>
  <si>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</si>
  <si>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</si>
  <si>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</si>
  <si>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</si>
  <si>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</si>
  <si>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</si>
  <si>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</si>
  <si>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</si>
  <si>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</si>
  <si>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</si>
  <si>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</si>
  <si>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</si>
  <si>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</si>
  <si>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</si>
  <si>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</si>
  <si>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</si>
  <si>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</si>
  <si>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</si>
  <si>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</si>
  <si>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</si>
  <si>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</si>
  <si>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</si>
  <si>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</si>
  <si>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</si>
  <si>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</si>
  <si>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</si>
  <si>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</si>
  <si>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</si>
  <si>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</si>
  <si>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</si>
  <si>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</si>
  <si>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</si>
  <si>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</si>
  <si>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</si>
  <si>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</si>
  <si>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</si>
  <si>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</si>
  <si>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</si>
  <si>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</si>
  <si>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</si>
  <si>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</si>
  <si>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</si>
  <si>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</si>
  <si>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</si>
  <si>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</si>
  <si>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</si>
  <si>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</si>
  <si>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</si>
  <si>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</si>
  <si>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</si>
  <si>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</si>
  <si>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</si>
  <si>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</si>
  <si>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</si>
  <si>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</si>
  <si>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</si>
  <si>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</si>
  <si>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</si>
  <si>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</si>
  <si>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</si>
  <si>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</si>
  <si>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</si>
  <si>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</si>
  <si>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</si>
  <si>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</si>
  <si>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</si>
  <si>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</si>
  <si>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</si>
  <si>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</si>
  <si>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</si>
  <si>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</si>
  <si>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</si>
  <si>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</si>
  <si>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</si>
  <si>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</si>
  <si>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</si>
  <si>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</si>
  <si>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</si>
  <si>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</si>
  <si>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</si>
  <si>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</si>
  <si>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</si>
  <si>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</si>
  <si>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</si>
  <si>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</si>
  <si>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</si>
  <si>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</si>
  <si>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</si>
  <si>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</si>
  <si>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</si>
  <si>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</si>
  <si>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</si>
  <si>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</si>
  <si>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</si>
  <si>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</si>
  <si>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</si>
  <si>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</si>
  <si>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</si>
  <si>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</si>
  <si>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</si>
  <si>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</si>
  <si>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</si>
  <si>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</si>
  <si>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</si>
  <si>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</si>
  <si>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</si>
  <si>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</si>
  <si>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</si>
  <si>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</si>
  <si>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</si>
  <si>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</si>
  <si>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</si>
  <si>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</si>
  <si>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</si>
  <si>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</si>
  <si>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</si>
  <si>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</si>
  <si>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</si>
  <si>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</si>
  <si>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</si>
  <si>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</si>
  <si>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</si>
  <si>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</si>
  <si>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</si>
  <si>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</si>
  <si>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</si>
  <si>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</si>
  <si>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</si>
  <si>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</si>
  <si>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</si>
  <si>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</si>
  <si>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</si>
  <si>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</si>
  <si>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</si>
  <si>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</si>
  <si>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</si>
  <si>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</si>
  <si>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</si>
  <si>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</si>
  <si>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</si>
  <si>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</si>
  <si>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</si>
  <si>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</si>
  <si>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</si>
  <si>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</si>
  <si>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</si>
  <si>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</si>
  <si>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</si>
  <si>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</si>
  <si>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</si>
  <si>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</si>
  <si>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</si>
  <si>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</si>
  <si>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</si>
  <si>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</si>
  <si>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</si>
  <si>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</si>
  <si>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</si>
  <si>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</si>
  <si>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</si>
  <si>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</si>
  <si>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</si>
  <si>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</si>
  <si>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</si>
  <si>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</si>
  <si>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</si>
  <si>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</si>
  <si>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</si>
  <si>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</si>
  <si>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</si>
  <si>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</si>
  <si>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</si>
  <si>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</si>
  <si>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</si>
  <si>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</si>
  <si>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</si>
  <si>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</si>
  <si>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</si>
  <si>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</si>
  <si>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</si>
  <si>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</si>
  <si>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</si>
  <si>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</si>
  <si>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</si>
  <si>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</si>
  <si>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</si>
  <si>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</si>
  <si>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</si>
  <si>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</si>
  <si>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</si>
  <si>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</si>
  <si>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</si>
  <si>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</si>
  <si>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</si>
  <si>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</si>
  <si>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</si>
  <si>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</si>
  <si>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</si>
  <si>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</si>
  <si>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</si>
  <si>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</si>
  <si>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</si>
  <si>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</si>
  <si>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</si>
  <si>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</si>
  <si>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</si>
  <si>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</si>
  <si>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</si>
  <si>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</si>
  <si>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</si>
  <si>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</si>
  <si>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</si>
  <si>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</si>
  <si>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</si>
  <si>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</si>
  <si>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</si>
  <si>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</si>
  <si>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</si>
  <si>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</si>
  <si>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</si>
  <si>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</si>
  <si>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</si>
  <si>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</si>
  <si>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</si>
  <si>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</si>
  <si>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</si>
  <si>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</si>
  <si>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</si>
  <si>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</si>
  <si>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</si>
  <si>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</si>
  <si>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</si>
  <si>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</si>
  <si>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</si>
  <si>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</si>
  <si>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</si>
  <si>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</si>
  <si>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</si>
  <si>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</si>
  <si>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</si>
  <si>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</si>
  <si>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</si>
  <si>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</si>
  <si>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</si>
  <si>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</si>
  <si>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</si>
  <si>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</si>
  <si>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</si>
  <si>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</si>
  <si>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</si>
  <si>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</si>
  <si>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</si>
  <si>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</si>
  <si>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</si>
  <si>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</si>
  <si>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</si>
  <si>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</si>
  <si>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</si>
  <si>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</si>
  <si>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</si>
  <si>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</si>
  <si>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</si>
  <si>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monitor</t>
  </si>
  <si>
    <t>Sum of Quantity</t>
  </si>
  <si>
    <t>Sum of ShippingCost</t>
  </si>
  <si>
    <t>Sum of UnitPrice</t>
  </si>
  <si>
    <t>Sum of TotalPrice</t>
  </si>
  <si>
    <t>Column Labels</t>
  </si>
  <si>
    <t>Sum of Discount</t>
  </si>
  <si>
    <t>2023</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</si>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</sst>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powerPivotData" Target="model/item.data"/><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pivotCacheDefinition" Target="pivotCache/pivotCacheDefinition7.xml"/><Relationship Id="rId19" Type="http://schemas.microsoft.com/office/2007/relationships/slicerCache" Target="slicerCaches/slicerCache5.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pivot!$F$10:$F$11</c:f>
              <c:strCache>
                <c:ptCount val="1"/>
                <c:pt idx="0">
                  <c:v>Retail</c:v>
                </c:pt>
              </c:strCache>
            </c:strRef>
          </c:tx>
          <c:spPr>
            <a:solidFill>
              <a:schemeClr val="accent1"/>
            </a:solidFill>
            <a:ln>
              <a:noFill/>
            </a:ln>
            <a:effectLst/>
          </c:spPr>
          <c:invertIfNegative val="0"/>
          <c:cat>
            <c:strRef>
              <c:f>pivot!$E$12:$E$18</c:f>
              <c:strCache>
                <c:ptCount val="6"/>
                <c:pt idx="0">
                  <c:v>Alice</c:v>
                </c:pt>
                <c:pt idx="1">
                  <c:v>Bob</c:v>
                </c:pt>
                <c:pt idx="2">
                  <c:v>Carlos</c:v>
                </c:pt>
                <c:pt idx="3">
                  <c:v>Diana</c:v>
                </c:pt>
                <c:pt idx="4">
                  <c:v>Eva</c:v>
                </c:pt>
                <c:pt idx="5">
                  <c:v>Frank</c:v>
                </c:pt>
              </c:strCache>
            </c:strRef>
          </c:cat>
          <c:val>
            <c:numRef>
              <c:f>pivot!$F$12:$F$18</c:f>
              <c:numCache>
                <c:formatCode>General</c:formatCode>
                <c:ptCount val="6"/>
                <c:pt idx="0">
                  <c:v>8.7999999999999989</c:v>
                </c:pt>
                <c:pt idx="1">
                  <c:v>9.0500000000000025</c:v>
                </c:pt>
                <c:pt idx="2">
                  <c:v>10.050000000000001</c:v>
                </c:pt>
                <c:pt idx="3">
                  <c:v>9.3999999999999986</c:v>
                </c:pt>
                <c:pt idx="4">
                  <c:v>8.9999999999999964</c:v>
                </c:pt>
                <c:pt idx="5">
                  <c:v>10.450000000000003</c:v>
                </c:pt>
              </c:numCache>
            </c:numRef>
          </c:val>
          <c:extLst>
            <c:ext xmlns:c16="http://schemas.microsoft.com/office/drawing/2014/chart" uri="{C3380CC4-5D6E-409C-BE32-E72D297353CC}">
              <c16:uniqueId val="{00000000-71E7-48B0-9A34-7C3F28F54497}"/>
            </c:ext>
          </c:extLst>
        </c:ser>
        <c:ser>
          <c:idx val="1"/>
          <c:order val="1"/>
          <c:tx>
            <c:strRef>
              <c:f>pivot!$G$10:$G$11</c:f>
              <c:strCache>
                <c:ptCount val="1"/>
                <c:pt idx="0">
                  <c:v>Wholesale</c:v>
                </c:pt>
              </c:strCache>
            </c:strRef>
          </c:tx>
          <c:spPr>
            <a:solidFill>
              <a:schemeClr val="accent2"/>
            </a:solidFill>
            <a:ln>
              <a:noFill/>
            </a:ln>
            <a:effectLst/>
          </c:spPr>
          <c:invertIfNegative val="0"/>
          <c:cat>
            <c:strRef>
              <c:f>pivot!$E$12:$E$18</c:f>
              <c:strCache>
                <c:ptCount val="6"/>
                <c:pt idx="0">
                  <c:v>Alice</c:v>
                </c:pt>
                <c:pt idx="1">
                  <c:v>Bob</c:v>
                </c:pt>
                <c:pt idx="2">
                  <c:v>Carlos</c:v>
                </c:pt>
                <c:pt idx="3">
                  <c:v>Diana</c:v>
                </c:pt>
                <c:pt idx="4">
                  <c:v>Eva</c:v>
                </c:pt>
                <c:pt idx="5">
                  <c:v>Frank</c:v>
                </c:pt>
              </c:strCache>
            </c:strRef>
          </c:cat>
          <c:val>
            <c:numRef>
              <c:f>pivot!$G$12:$G$18</c:f>
              <c:numCache>
                <c:formatCode>General</c:formatCode>
                <c:ptCount val="6"/>
                <c:pt idx="0">
                  <c:v>9.3999999999999968</c:v>
                </c:pt>
                <c:pt idx="1">
                  <c:v>7.4499999999999966</c:v>
                </c:pt>
                <c:pt idx="2">
                  <c:v>9.3999999999999986</c:v>
                </c:pt>
                <c:pt idx="3">
                  <c:v>9.6999999999999975</c:v>
                </c:pt>
                <c:pt idx="4">
                  <c:v>8.0499999999999954</c:v>
                </c:pt>
                <c:pt idx="5">
                  <c:v>8.9500000000000028</c:v>
                </c:pt>
              </c:numCache>
            </c:numRef>
          </c:val>
          <c:extLst>
            <c:ext xmlns:c16="http://schemas.microsoft.com/office/drawing/2014/chart" uri="{C3380CC4-5D6E-409C-BE32-E72D297353CC}">
              <c16:uniqueId val="{00000001-71E7-48B0-9A34-7C3F28F54497}"/>
            </c:ext>
          </c:extLst>
        </c:ser>
        <c:dLbls>
          <c:showLegendKey val="0"/>
          <c:showVal val="0"/>
          <c:showCatName val="0"/>
          <c:showSerName val="0"/>
          <c:showPercent val="0"/>
          <c:showBubbleSize val="0"/>
        </c:dLbls>
        <c:gapWidth val="219"/>
        <c:overlap val="-27"/>
        <c:axId val="285200928"/>
        <c:axId val="146601712"/>
      </c:barChart>
      <c:catAx>
        <c:axId val="285200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01712"/>
        <c:crosses val="autoZero"/>
        <c:auto val="1"/>
        <c:lblAlgn val="ctr"/>
        <c:lblOffset val="100"/>
        <c:noMultiLvlLbl val="0"/>
      </c:catAx>
      <c:valAx>
        <c:axId val="14660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5200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Dashboard.xlsx]pivot!PivotTable4</c:name>
    <c:fmtId val="1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pivot!$F$10:$F$11</c:f>
              <c:strCache>
                <c:ptCount val="1"/>
                <c:pt idx="0">
                  <c:v>Retail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pivot!$E$12:$E$18</c:f>
              <c:strCache>
                <c:ptCount val="6"/>
                <c:pt idx="0">
                  <c:v>Alice</c:v>
                </c:pt>
                <c:pt idx="1">
                  <c:v>Bob</c:v>
                </c:pt>
                <c:pt idx="2">
                  <c:v>Carlos</c:v>
                </c:pt>
                <c:pt idx="3">
                  <c:v>Diana</c:v>
                </c:pt>
                <c:pt idx="4">
                  <c:v>Eva</c:v>
                </c:pt>
                <c:pt idx="5">
                  <c:v>Frank</c:v>
                </c:pt>
              </c:strCache>
            </c:strRef>
          </c:cat>
          <c:val>
            <c:numRef>
              <c:f>pivot!$F$12:$F$18</c:f>
              <c:numCache>
                <c:formatCode>General</c:formatCode>
                <c:ptCount val="6"/>
                <c:pt idx="0">
                  <c:v>8.7999999999999989</c:v>
                </c:pt>
                <c:pt idx="1">
                  <c:v>9.0500000000000025</c:v>
                </c:pt>
                <c:pt idx="2">
                  <c:v>10.050000000000001</c:v>
                </c:pt>
                <c:pt idx="3">
                  <c:v>9.3999999999999986</c:v>
                </c:pt>
                <c:pt idx="4">
                  <c:v>8.9999999999999964</c:v>
                </c:pt>
                <c:pt idx="5">
                  <c:v>10.450000000000003</c:v>
                </c:pt>
              </c:numCache>
            </c:numRef>
          </c:val>
          <c:smooth val="0"/>
          <c:extLst>
            <c:ext xmlns:c16="http://schemas.microsoft.com/office/drawing/2014/chart" uri="{C3380CC4-5D6E-409C-BE32-E72D297353CC}">
              <c16:uniqueId val="{00000000-D77B-4823-9F56-54AD8044BD9C}"/>
            </c:ext>
          </c:extLst>
        </c:ser>
        <c:ser>
          <c:idx val="1"/>
          <c:order val="1"/>
          <c:tx>
            <c:strRef>
              <c:f>pivot!$G$10:$G$11</c:f>
              <c:strCache>
                <c:ptCount val="1"/>
                <c:pt idx="0">
                  <c:v>Wholesale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pivot!$E$12:$E$18</c:f>
              <c:strCache>
                <c:ptCount val="6"/>
                <c:pt idx="0">
                  <c:v>Alice</c:v>
                </c:pt>
                <c:pt idx="1">
                  <c:v>Bob</c:v>
                </c:pt>
                <c:pt idx="2">
                  <c:v>Carlos</c:v>
                </c:pt>
                <c:pt idx="3">
                  <c:v>Diana</c:v>
                </c:pt>
                <c:pt idx="4">
                  <c:v>Eva</c:v>
                </c:pt>
                <c:pt idx="5">
                  <c:v>Frank</c:v>
                </c:pt>
              </c:strCache>
            </c:strRef>
          </c:cat>
          <c:val>
            <c:numRef>
              <c:f>pivot!$G$12:$G$18</c:f>
              <c:numCache>
                <c:formatCode>General</c:formatCode>
                <c:ptCount val="6"/>
                <c:pt idx="0">
                  <c:v>9.3999999999999968</c:v>
                </c:pt>
                <c:pt idx="1">
                  <c:v>7.4499999999999966</c:v>
                </c:pt>
                <c:pt idx="2">
                  <c:v>9.3999999999999986</c:v>
                </c:pt>
                <c:pt idx="3">
                  <c:v>9.6999999999999975</c:v>
                </c:pt>
                <c:pt idx="4">
                  <c:v>8.0499999999999954</c:v>
                </c:pt>
                <c:pt idx="5">
                  <c:v>8.9500000000000028</c:v>
                </c:pt>
              </c:numCache>
            </c:numRef>
          </c:val>
          <c:smooth val="0"/>
          <c:extLst>
            <c:ext xmlns:c16="http://schemas.microsoft.com/office/drawing/2014/chart" uri="{C3380CC4-5D6E-409C-BE32-E72D297353CC}">
              <c16:uniqueId val="{00000001-D77B-4823-9F56-54AD8044BD9C}"/>
            </c:ext>
          </c:extLst>
        </c:ser>
        <c:dLbls>
          <c:showLegendKey val="0"/>
          <c:showVal val="0"/>
          <c:showCatName val="0"/>
          <c:showSerName val="0"/>
          <c:showPercent val="0"/>
          <c:showBubbleSize val="0"/>
        </c:dLbls>
        <c:marker val="1"/>
        <c:smooth val="0"/>
        <c:axId val="872221984"/>
        <c:axId val="868574096"/>
      </c:lineChart>
      <c:catAx>
        <c:axId val="87222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74096"/>
        <c:crosses val="autoZero"/>
        <c:auto val="1"/>
        <c:lblAlgn val="ctr"/>
        <c:lblOffset val="100"/>
        <c:noMultiLvlLbl val="0"/>
      </c:catAx>
      <c:valAx>
        <c:axId val="86857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22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pivot!$C$16</c:f>
              <c:strCache>
                <c:ptCount val="1"/>
                <c:pt idx="0">
                  <c:v>Total</c:v>
                </c:pt>
              </c:strCache>
            </c:strRef>
          </c:tx>
          <c:spPr>
            <a:solidFill>
              <a:schemeClr val="accent1"/>
            </a:solidFill>
            <a:ln>
              <a:noFill/>
            </a:ln>
            <a:effectLst/>
          </c:spPr>
          <c:invertIfNegative val="0"/>
          <c:cat>
            <c:strRef>
              <c:f>pivot!$B$17:$B$23</c:f>
              <c:strCache>
                <c:ptCount val="6"/>
                <c:pt idx="0">
                  <c:v>Alice</c:v>
                </c:pt>
                <c:pt idx="1">
                  <c:v>Bob</c:v>
                </c:pt>
                <c:pt idx="2">
                  <c:v>Carlos</c:v>
                </c:pt>
                <c:pt idx="3">
                  <c:v>Diana</c:v>
                </c:pt>
                <c:pt idx="4">
                  <c:v>Eva</c:v>
                </c:pt>
                <c:pt idx="5">
                  <c:v>Frank</c:v>
                </c:pt>
              </c:strCache>
            </c:strRef>
          </c:cat>
          <c:val>
            <c:numRef>
              <c:f>pivot!$C$17:$C$23</c:f>
              <c:numCache>
                <c:formatCode>General</c:formatCode>
                <c:ptCount val="6"/>
                <c:pt idx="0">
                  <c:v>786165.8400000002</c:v>
                </c:pt>
                <c:pt idx="1">
                  <c:v>796780.52149999957</c:v>
                </c:pt>
                <c:pt idx="2">
                  <c:v>707166.71600000071</c:v>
                </c:pt>
                <c:pt idx="3">
                  <c:v>676568.2495000005</c:v>
                </c:pt>
                <c:pt idx="4">
                  <c:v>698669.57950000011</c:v>
                </c:pt>
                <c:pt idx="5">
                  <c:v>714641.52200000035</c:v>
                </c:pt>
              </c:numCache>
            </c:numRef>
          </c:val>
          <c:extLst>
            <c:ext xmlns:c16="http://schemas.microsoft.com/office/drawing/2014/chart" uri="{C3380CC4-5D6E-409C-BE32-E72D297353CC}">
              <c16:uniqueId val="{00000000-B2BD-4B74-B0AE-4A11EF02D692}"/>
            </c:ext>
          </c:extLst>
        </c:ser>
        <c:dLbls>
          <c:showLegendKey val="0"/>
          <c:showVal val="0"/>
          <c:showCatName val="0"/>
          <c:showSerName val="0"/>
          <c:showPercent val="0"/>
          <c:showBubbleSize val="0"/>
        </c:dLbls>
        <c:gapWidth val="219"/>
        <c:overlap val="-27"/>
        <c:axId val="861814880"/>
        <c:axId val="868552976"/>
      </c:barChart>
      <c:catAx>
        <c:axId val="861814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52976"/>
        <c:crosses val="autoZero"/>
        <c:auto val="1"/>
        <c:lblAlgn val="ctr"/>
        <c:lblOffset val="100"/>
        <c:noMultiLvlLbl val="0"/>
      </c:catAx>
      <c:valAx>
        <c:axId val="868552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81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pivot!$F$23</c:f>
              <c:strCache>
                <c:ptCount val="1"/>
                <c:pt idx="0">
                  <c:v>Total</c:v>
                </c:pt>
              </c:strCache>
            </c:strRef>
          </c:tx>
          <c:spPr>
            <a:solidFill>
              <a:schemeClr val="accent1"/>
            </a:solidFill>
            <a:ln>
              <a:noFill/>
            </a:ln>
            <a:effectLst/>
          </c:spPr>
          <c:invertIfNegative val="0"/>
          <c:cat>
            <c:strRef>
              <c:f>pivot!$E$24:$E$29</c:f>
              <c:strCache>
                <c:ptCount val="5"/>
                <c:pt idx="0">
                  <c:v>Cash</c:v>
                </c:pt>
                <c:pt idx="1">
                  <c:v>Credit Card</c:v>
                </c:pt>
                <c:pt idx="2">
                  <c:v>Debit Card</c:v>
                </c:pt>
                <c:pt idx="3">
                  <c:v>Gift Card</c:v>
                </c:pt>
                <c:pt idx="4">
                  <c:v>Online</c:v>
                </c:pt>
              </c:strCache>
            </c:strRef>
          </c:cat>
          <c:val>
            <c:numRef>
              <c:f>pivot!$F$24:$F$29</c:f>
              <c:numCache>
                <c:formatCode>General</c:formatCode>
                <c:ptCount val="5"/>
                <c:pt idx="0">
                  <c:v>8592.61</c:v>
                </c:pt>
                <c:pt idx="1">
                  <c:v>8277.11</c:v>
                </c:pt>
                <c:pt idx="2">
                  <c:v>7975.09</c:v>
                </c:pt>
                <c:pt idx="3">
                  <c:v>7428.85</c:v>
                </c:pt>
                <c:pt idx="4">
                  <c:v>8987.2800000000007</c:v>
                </c:pt>
              </c:numCache>
            </c:numRef>
          </c:val>
          <c:extLst>
            <c:ext xmlns:c16="http://schemas.microsoft.com/office/drawing/2014/chart" uri="{C3380CC4-5D6E-409C-BE32-E72D297353CC}">
              <c16:uniqueId val="{00000000-38DB-46F3-8031-382B661EE6C7}"/>
            </c:ext>
          </c:extLst>
        </c:ser>
        <c:dLbls>
          <c:showLegendKey val="0"/>
          <c:showVal val="0"/>
          <c:showCatName val="0"/>
          <c:showSerName val="0"/>
          <c:showPercent val="0"/>
          <c:showBubbleSize val="0"/>
        </c:dLbls>
        <c:gapWidth val="219"/>
        <c:overlap val="-27"/>
        <c:axId val="1056740432"/>
        <c:axId val="868632176"/>
      </c:barChart>
      <c:catAx>
        <c:axId val="105674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632176"/>
        <c:crosses val="autoZero"/>
        <c:auto val="1"/>
        <c:lblAlgn val="ctr"/>
        <c:lblOffset val="100"/>
        <c:noMultiLvlLbl val="0"/>
      </c:catAx>
      <c:valAx>
        <c:axId val="86863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74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pivot!$J$23:$J$24</c:f>
              <c:strCache>
                <c:ptCount val="1"/>
                <c:pt idx="0">
                  <c:v>Retail</c:v>
                </c:pt>
              </c:strCache>
            </c:strRef>
          </c:tx>
          <c:spPr>
            <a:solidFill>
              <a:schemeClr val="accent1"/>
            </a:solidFill>
            <a:ln>
              <a:noFill/>
            </a:ln>
            <a:effectLst/>
          </c:spPr>
          <c:invertIfNegative val="0"/>
          <c:cat>
            <c:strRef>
              <c:f>pivot!$I$25:$I$28</c:f>
              <c:strCache>
                <c:ptCount val="3"/>
                <c:pt idx="0">
                  <c:v>2023</c:v>
                </c:pt>
                <c:pt idx="1">
                  <c:v>2024</c:v>
                </c:pt>
                <c:pt idx="2">
                  <c:v>2025</c:v>
                </c:pt>
              </c:strCache>
            </c:strRef>
          </c:cat>
          <c:val>
            <c:numRef>
              <c:f>pivot!$J$25:$J$28</c:f>
              <c:numCache>
                <c:formatCode>General</c:formatCode>
                <c:ptCount val="3"/>
                <c:pt idx="0">
                  <c:v>20.95000000000001</c:v>
                </c:pt>
                <c:pt idx="1">
                  <c:v>21.250000000000036</c:v>
                </c:pt>
                <c:pt idx="2">
                  <c:v>14.550000000000015</c:v>
                </c:pt>
              </c:numCache>
            </c:numRef>
          </c:val>
          <c:extLst>
            <c:ext xmlns:c16="http://schemas.microsoft.com/office/drawing/2014/chart" uri="{C3380CC4-5D6E-409C-BE32-E72D297353CC}">
              <c16:uniqueId val="{00000000-CD36-463D-8289-9C64AD7AAB87}"/>
            </c:ext>
          </c:extLst>
        </c:ser>
        <c:ser>
          <c:idx val="1"/>
          <c:order val="1"/>
          <c:tx>
            <c:strRef>
              <c:f>pivot!$K$23:$K$24</c:f>
              <c:strCache>
                <c:ptCount val="1"/>
                <c:pt idx="0">
                  <c:v>Wholesale</c:v>
                </c:pt>
              </c:strCache>
            </c:strRef>
          </c:tx>
          <c:spPr>
            <a:solidFill>
              <a:schemeClr val="accent2"/>
            </a:solidFill>
            <a:ln>
              <a:noFill/>
            </a:ln>
            <a:effectLst/>
          </c:spPr>
          <c:invertIfNegative val="0"/>
          <c:cat>
            <c:strRef>
              <c:f>pivot!$I$25:$I$28</c:f>
              <c:strCache>
                <c:ptCount val="3"/>
                <c:pt idx="0">
                  <c:v>2023</c:v>
                </c:pt>
                <c:pt idx="1">
                  <c:v>2024</c:v>
                </c:pt>
                <c:pt idx="2">
                  <c:v>2025</c:v>
                </c:pt>
              </c:strCache>
            </c:strRef>
          </c:cat>
          <c:val>
            <c:numRef>
              <c:f>pivot!$K$25:$K$28</c:f>
              <c:numCache>
                <c:formatCode>General</c:formatCode>
                <c:ptCount val="3"/>
                <c:pt idx="0">
                  <c:v>20.800000000000047</c:v>
                </c:pt>
                <c:pt idx="1">
                  <c:v>21.150000000000031</c:v>
                </c:pt>
                <c:pt idx="2">
                  <c:v>11.000000000000005</c:v>
                </c:pt>
              </c:numCache>
            </c:numRef>
          </c:val>
          <c:extLst>
            <c:ext xmlns:c16="http://schemas.microsoft.com/office/drawing/2014/chart" uri="{C3380CC4-5D6E-409C-BE32-E72D297353CC}">
              <c16:uniqueId val="{00000001-CD36-463D-8289-9C64AD7AAB87}"/>
            </c:ext>
          </c:extLst>
        </c:ser>
        <c:dLbls>
          <c:showLegendKey val="0"/>
          <c:showVal val="0"/>
          <c:showCatName val="0"/>
          <c:showSerName val="0"/>
          <c:showPercent val="0"/>
          <c:showBubbleSize val="0"/>
        </c:dLbls>
        <c:gapWidth val="219"/>
        <c:overlap val="-27"/>
        <c:axId val="1056710736"/>
        <c:axId val="868577456"/>
      </c:barChart>
      <c:catAx>
        <c:axId val="105671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577456"/>
        <c:crosses val="autoZero"/>
        <c:auto val="1"/>
        <c:lblAlgn val="ctr"/>
        <c:lblOffset val="100"/>
        <c:noMultiLvlLbl val="0"/>
      </c:catAx>
      <c:valAx>
        <c:axId val="86857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71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pivot!$Q$7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14-46A4-BE28-9A56BF50C2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14-46A4-BE28-9A56BF50C2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14-46A4-BE28-9A56BF50C2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A14-46A4-BE28-9A56BF50C21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A14-46A4-BE28-9A56BF50C218}"/>
              </c:ext>
            </c:extLst>
          </c:dPt>
          <c:cat>
            <c:strRef>
              <c:f>pivot!$P$8:$P$13</c:f>
              <c:strCache>
                <c:ptCount val="5"/>
                <c:pt idx="0">
                  <c:v>Central</c:v>
                </c:pt>
                <c:pt idx="1">
                  <c:v>East</c:v>
                </c:pt>
                <c:pt idx="2">
                  <c:v>North</c:v>
                </c:pt>
                <c:pt idx="3">
                  <c:v>South</c:v>
                </c:pt>
                <c:pt idx="4">
                  <c:v>West</c:v>
                </c:pt>
              </c:strCache>
            </c:strRef>
          </c:cat>
          <c:val>
            <c:numRef>
              <c:f>pivot!$Q$8:$Q$13</c:f>
              <c:numCache>
                <c:formatCode>General</c:formatCode>
                <c:ptCount val="5"/>
                <c:pt idx="0">
                  <c:v>3102</c:v>
                </c:pt>
                <c:pt idx="1">
                  <c:v>3078</c:v>
                </c:pt>
                <c:pt idx="2">
                  <c:v>3442</c:v>
                </c:pt>
                <c:pt idx="3">
                  <c:v>2953</c:v>
                </c:pt>
                <c:pt idx="4">
                  <c:v>3041</c:v>
                </c:pt>
              </c:numCache>
            </c:numRef>
          </c:val>
          <c:extLst>
            <c:ext xmlns:c16="http://schemas.microsoft.com/office/drawing/2014/chart" uri="{C3380CC4-5D6E-409C-BE32-E72D297353CC}">
              <c16:uniqueId val="{00000000-3EF3-478D-BF5D-9DB8E0EB2C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pivot!$J$3</c:f>
              <c:strCache>
                <c:ptCount val="1"/>
                <c:pt idx="0">
                  <c:v>Total</c:v>
                </c:pt>
              </c:strCache>
            </c:strRef>
          </c:tx>
          <c:spPr>
            <a:solidFill>
              <a:schemeClr val="accent1"/>
            </a:solidFill>
            <a:ln>
              <a:noFill/>
            </a:ln>
            <a:effectLst/>
          </c:spPr>
          <c:invertIfNegative val="0"/>
          <c:cat>
            <c:strRef>
              <c:f>pivot!$I$4:$I$11</c:f>
              <c:strCache>
                <c:ptCount val="7"/>
                <c:pt idx="0">
                  <c:v>Chair</c:v>
                </c:pt>
                <c:pt idx="1">
                  <c:v>Desk</c:v>
                </c:pt>
                <c:pt idx="2">
                  <c:v>Laptop</c:v>
                </c:pt>
                <c:pt idx="3">
                  <c:v>Monitor</c:v>
                </c:pt>
                <c:pt idx="4">
                  <c:v>Phone</c:v>
                </c:pt>
                <c:pt idx="5">
                  <c:v>Printer</c:v>
                </c:pt>
                <c:pt idx="6">
                  <c:v>Tablet</c:v>
                </c:pt>
              </c:strCache>
            </c:strRef>
          </c:cat>
          <c:val>
            <c:numRef>
              <c:f>pivot!$J$4:$J$11</c:f>
              <c:numCache>
                <c:formatCode>General</c:formatCode>
                <c:ptCount val="7"/>
                <c:pt idx="0">
                  <c:v>2115</c:v>
                </c:pt>
                <c:pt idx="1">
                  <c:v>2026</c:v>
                </c:pt>
                <c:pt idx="2">
                  <c:v>2408</c:v>
                </c:pt>
                <c:pt idx="3">
                  <c:v>2184</c:v>
                </c:pt>
                <c:pt idx="4">
                  <c:v>1970</c:v>
                </c:pt>
                <c:pt idx="5">
                  <c:v>2336</c:v>
                </c:pt>
                <c:pt idx="6">
                  <c:v>2577</c:v>
                </c:pt>
              </c:numCache>
            </c:numRef>
          </c:val>
          <c:extLst>
            <c:ext xmlns:c16="http://schemas.microsoft.com/office/drawing/2014/chart" uri="{C3380CC4-5D6E-409C-BE32-E72D297353CC}">
              <c16:uniqueId val="{00000000-E425-4BFC-ACF7-BE14DEDAC0E4}"/>
            </c:ext>
          </c:extLst>
        </c:ser>
        <c:dLbls>
          <c:showLegendKey val="0"/>
          <c:showVal val="0"/>
          <c:showCatName val="0"/>
          <c:showSerName val="0"/>
          <c:showPercent val="0"/>
          <c:showBubbleSize val="0"/>
        </c:dLbls>
        <c:gapWidth val="182"/>
        <c:axId val="1056752960"/>
        <c:axId val="868605296"/>
      </c:barChart>
      <c:catAx>
        <c:axId val="105675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605296"/>
        <c:crosses val="autoZero"/>
        <c:auto val="1"/>
        <c:lblAlgn val="ctr"/>
        <c:lblOffset val="100"/>
        <c:noMultiLvlLbl val="0"/>
      </c:catAx>
      <c:valAx>
        <c:axId val="868605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75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Dashboard.xlsx]pivot!PivotTable4</c:name>
    <c:fmtId val="1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pivot!$F$10:$F$11</c:f>
              <c:strCache>
                <c:ptCount val="1"/>
                <c:pt idx="0">
                  <c:v>Retail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pivot!$E$12:$E$18</c:f>
              <c:strCache>
                <c:ptCount val="6"/>
                <c:pt idx="0">
                  <c:v>Alice</c:v>
                </c:pt>
                <c:pt idx="1">
                  <c:v>Bob</c:v>
                </c:pt>
                <c:pt idx="2">
                  <c:v>Carlos</c:v>
                </c:pt>
                <c:pt idx="3">
                  <c:v>Diana</c:v>
                </c:pt>
                <c:pt idx="4">
                  <c:v>Eva</c:v>
                </c:pt>
                <c:pt idx="5">
                  <c:v>Frank</c:v>
                </c:pt>
              </c:strCache>
            </c:strRef>
          </c:cat>
          <c:val>
            <c:numRef>
              <c:f>pivot!$F$12:$F$18</c:f>
              <c:numCache>
                <c:formatCode>General</c:formatCode>
                <c:ptCount val="6"/>
                <c:pt idx="0">
                  <c:v>8.7999999999999989</c:v>
                </c:pt>
                <c:pt idx="1">
                  <c:v>9.0500000000000025</c:v>
                </c:pt>
                <c:pt idx="2">
                  <c:v>10.050000000000001</c:v>
                </c:pt>
                <c:pt idx="3">
                  <c:v>9.3999999999999986</c:v>
                </c:pt>
                <c:pt idx="4">
                  <c:v>8.9999999999999964</c:v>
                </c:pt>
                <c:pt idx="5">
                  <c:v>10.450000000000003</c:v>
                </c:pt>
              </c:numCache>
            </c:numRef>
          </c:val>
          <c:smooth val="0"/>
          <c:extLst>
            <c:ext xmlns:c16="http://schemas.microsoft.com/office/drawing/2014/chart" uri="{C3380CC4-5D6E-409C-BE32-E72D297353CC}">
              <c16:uniqueId val="{00000000-CD4A-40F3-BC82-ACD05A041D7D}"/>
            </c:ext>
          </c:extLst>
        </c:ser>
        <c:ser>
          <c:idx val="1"/>
          <c:order val="1"/>
          <c:tx>
            <c:strRef>
              <c:f>pivot!$G$10:$G$11</c:f>
              <c:strCache>
                <c:ptCount val="1"/>
                <c:pt idx="0">
                  <c:v>Wholesale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pivot!$E$12:$E$18</c:f>
              <c:strCache>
                <c:ptCount val="6"/>
                <c:pt idx="0">
                  <c:v>Alice</c:v>
                </c:pt>
                <c:pt idx="1">
                  <c:v>Bob</c:v>
                </c:pt>
                <c:pt idx="2">
                  <c:v>Carlos</c:v>
                </c:pt>
                <c:pt idx="3">
                  <c:v>Diana</c:v>
                </c:pt>
                <c:pt idx="4">
                  <c:v>Eva</c:v>
                </c:pt>
                <c:pt idx="5">
                  <c:v>Frank</c:v>
                </c:pt>
              </c:strCache>
            </c:strRef>
          </c:cat>
          <c:val>
            <c:numRef>
              <c:f>pivot!$G$12:$G$18</c:f>
              <c:numCache>
                <c:formatCode>General</c:formatCode>
                <c:ptCount val="6"/>
                <c:pt idx="0">
                  <c:v>9.3999999999999968</c:v>
                </c:pt>
                <c:pt idx="1">
                  <c:v>7.4499999999999966</c:v>
                </c:pt>
                <c:pt idx="2">
                  <c:v>9.3999999999999986</c:v>
                </c:pt>
                <c:pt idx="3">
                  <c:v>9.6999999999999975</c:v>
                </c:pt>
                <c:pt idx="4">
                  <c:v>8.0499999999999954</c:v>
                </c:pt>
                <c:pt idx="5">
                  <c:v>8.9500000000000028</c:v>
                </c:pt>
              </c:numCache>
            </c:numRef>
          </c:val>
          <c:smooth val="0"/>
          <c:extLst>
            <c:ext xmlns:c16="http://schemas.microsoft.com/office/drawing/2014/chart" uri="{C3380CC4-5D6E-409C-BE32-E72D297353CC}">
              <c16:uniqueId val="{00000001-CD4A-40F3-BC82-ACD05A041D7D}"/>
            </c:ext>
          </c:extLst>
        </c:ser>
        <c:dLbls>
          <c:dLblPos val="t"/>
          <c:showLegendKey val="0"/>
          <c:showVal val="1"/>
          <c:showCatName val="0"/>
          <c:showSerName val="0"/>
          <c:showPercent val="0"/>
          <c:showBubbleSize val="0"/>
        </c:dLbls>
        <c:marker val="1"/>
        <c:smooth val="0"/>
        <c:axId val="872221984"/>
        <c:axId val="868574096"/>
      </c:lineChart>
      <c:catAx>
        <c:axId val="87222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accent1"/>
                </a:solidFill>
                <a:latin typeface="+mn-lt"/>
                <a:ea typeface="+mn-ea"/>
                <a:cs typeface="+mn-cs"/>
              </a:defRPr>
            </a:pPr>
            <a:endParaRPr lang="en-US"/>
          </a:p>
        </c:txPr>
        <c:crossAx val="868574096"/>
        <c:crosses val="autoZero"/>
        <c:auto val="1"/>
        <c:lblAlgn val="ctr"/>
        <c:lblOffset val="100"/>
        <c:noMultiLvlLbl val="0"/>
      </c:catAx>
      <c:valAx>
        <c:axId val="86857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solidFill>
                <a:latin typeface="+mn-lt"/>
                <a:ea typeface="+mn-ea"/>
                <a:cs typeface="+mn-cs"/>
              </a:defRPr>
            </a:pPr>
            <a:endParaRPr lang="en-US"/>
          </a:p>
        </c:txPr>
        <c:crossAx val="872221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Dashboard.xlsx]pivot!PivotTable5</c:name>
    <c:fmtId val="2"/>
  </c:pivotSource>
  <c:chart>
    <c:title>
      <c:tx>
        <c:rich>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r>
              <a:rPr lang="en-US">
                <a:solidFill>
                  <a:schemeClr val="accent1"/>
                </a:solidFill>
              </a:rPr>
              <a:t>Revenue</a:t>
            </a:r>
            <a:r>
              <a:rPr lang="en-US" baseline="0">
                <a:solidFill>
                  <a:schemeClr val="accent1"/>
                </a:solidFill>
              </a:rPr>
              <a:t> By payment Method</a:t>
            </a:r>
            <a:endParaRPr lang="en-US">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pivot!$E$24:$E$29</c:f>
              <c:strCache>
                <c:ptCount val="5"/>
                <c:pt idx="0">
                  <c:v>Cash</c:v>
                </c:pt>
                <c:pt idx="1">
                  <c:v>Credit Card</c:v>
                </c:pt>
                <c:pt idx="2">
                  <c:v>Debit Card</c:v>
                </c:pt>
                <c:pt idx="3">
                  <c:v>Gift Card</c:v>
                </c:pt>
                <c:pt idx="4">
                  <c:v>Online</c:v>
                </c:pt>
              </c:strCache>
            </c:strRef>
          </c:cat>
          <c:val>
            <c:numRef>
              <c:f>pivot!$F$24:$F$29</c:f>
              <c:numCache>
                <c:formatCode>General</c:formatCode>
                <c:ptCount val="5"/>
                <c:pt idx="0">
                  <c:v>8592.61</c:v>
                </c:pt>
                <c:pt idx="1">
                  <c:v>8277.11</c:v>
                </c:pt>
                <c:pt idx="2">
                  <c:v>7975.09</c:v>
                </c:pt>
                <c:pt idx="3">
                  <c:v>7428.85</c:v>
                </c:pt>
                <c:pt idx="4">
                  <c:v>8987.2800000000007</c:v>
                </c:pt>
              </c:numCache>
            </c:numRef>
          </c:val>
          <c:extLst>
            <c:ext xmlns:c16="http://schemas.microsoft.com/office/drawing/2014/chart" uri="{C3380CC4-5D6E-409C-BE32-E72D297353CC}">
              <c16:uniqueId val="{00000000-76A4-4779-AA42-5AAA9B641E10}"/>
            </c:ext>
          </c:extLst>
        </c:ser>
        <c:dLbls>
          <c:dLblPos val="outEnd"/>
          <c:showLegendKey val="0"/>
          <c:showVal val="1"/>
          <c:showCatName val="0"/>
          <c:showSerName val="0"/>
          <c:showPercent val="0"/>
          <c:showBubbleSize val="0"/>
        </c:dLbls>
        <c:gapWidth val="219"/>
        <c:overlap val="-27"/>
        <c:axId val="1056740432"/>
        <c:axId val="868632176"/>
      </c:barChart>
      <c:catAx>
        <c:axId val="105674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solidFill>
                <a:latin typeface="+mn-lt"/>
                <a:ea typeface="+mn-ea"/>
                <a:cs typeface="+mn-cs"/>
              </a:defRPr>
            </a:pPr>
            <a:endParaRPr lang="en-US"/>
          </a:p>
        </c:txPr>
        <c:crossAx val="868632176"/>
        <c:crosses val="autoZero"/>
        <c:auto val="1"/>
        <c:lblAlgn val="ctr"/>
        <c:lblOffset val="100"/>
        <c:noMultiLvlLbl val="0"/>
      </c:catAx>
      <c:valAx>
        <c:axId val="868632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solidFill>
                <a:latin typeface="+mn-lt"/>
                <a:ea typeface="+mn-ea"/>
                <a:cs typeface="+mn-cs"/>
              </a:defRPr>
            </a:pPr>
            <a:endParaRPr lang="en-US"/>
          </a:p>
        </c:txPr>
        <c:crossAx val="1056740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Dashboard.xlsx]pivot!PivotTable6</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pivot!$J$23:$J$24</c:f>
              <c:strCache>
                <c:ptCount val="1"/>
                <c:pt idx="0">
                  <c:v>Retail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pivot!$I$25:$I$28</c:f>
              <c:strCache>
                <c:ptCount val="3"/>
                <c:pt idx="0">
                  <c:v>2023</c:v>
                </c:pt>
                <c:pt idx="1">
                  <c:v>2024</c:v>
                </c:pt>
                <c:pt idx="2">
                  <c:v>2025</c:v>
                </c:pt>
              </c:strCache>
            </c:strRef>
          </c:cat>
          <c:val>
            <c:numRef>
              <c:f>pivot!$J$25:$J$28</c:f>
              <c:numCache>
                <c:formatCode>General</c:formatCode>
                <c:ptCount val="3"/>
                <c:pt idx="0">
                  <c:v>20.95000000000001</c:v>
                </c:pt>
                <c:pt idx="1">
                  <c:v>21.250000000000036</c:v>
                </c:pt>
                <c:pt idx="2">
                  <c:v>14.550000000000015</c:v>
                </c:pt>
              </c:numCache>
            </c:numRef>
          </c:val>
          <c:extLst>
            <c:ext xmlns:c16="http://schemas.microsoft.com/office/drawing/2014/chart" uri="{C3380CC4-5D6E-409C-BE32-E72D297353CC}">
              <c16:uniqueId val="{00000000-3572-4ECA-9776-386F28680F89}"/>
            </c:ext>
          </c:extLst>
        </c:ser>
        <c:ser>
          <c:idx val="1"/>
          <c:order val="1"/>
          <c:tx>
            <c:strRef>
              <c:f>pivot!$K$23:$K$24</c:f>
              <c:strCache>
                <c:ptCount val="1"/>
                <c:pt idx="0">
                  <c:v>Wholesale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pivot!$I$25:$I$28</c:f>
              <c:strCache>
                <c:ptCount val="3"/>
                <c:pt idx="0">
                  <c:v>2023</c:v>
                </c:pt>
                <c:pt idx="1">
                  <c:v>2024</c:v>
                </c:pt>
                <c:pt idx="2">
                  <c:v>2025</c:v>
                </c:pt>
              </c:strCache>
            </c:strRef>
          </c:cat>
          <c:val>
            <c:numRef>
              <c:f>pivot!$K$25:$K$28</c:f>
              <c:numCache>
                <c:formatCode>General</c:formatCode>
                <c:ptCount val="3"/>
                <c:pt idx="0">
                  <c:v>20.800000000000047</c:v>
                </c:pt>
                <c:pt idx="1">
                  <c:v>21.150000000000031</c:v>
                </c:pt>
                <c:pt idx="2">
                  <c:v>11.000000000000005</c:v>
                </c:pt>
              </c:numCache>
            </c:numRef>
          </c:val>
          <c:extLst>
            <c:ext xmlns:c16="http://schemas.microsoft.com/office/drawing/2014/chart" uri="{C3380CC4-5D6E-409C-BE32-E72D297353CC}">
              <c16:uniqueId val="{00000001-3572-4ECA-9776-386F28680F89}"/>
            </c:ext>
          </c:extLst>
        </c:ser>
        <c:dLbls>
          <c:dLblPos val="outEnd"/>
          <c:showLegendKey val="0"/>
          <c:showVal val="1"/>
          <c:showCatName val="0"/>
          <c:showSerName val="0"/>
          <c:showPercent val="0"/>
          <c:showBubbleSize val="0"/>
        </c:dLbls>
        <c:gapWidth val="219"/>
        <c:overlap val="-27"/>
        <c:axId val="1056710736"/>
        <c:axId val="868577456"/>
      </c:barChart>
      <c:catAx>
        <c:axId val="105671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solidFill>
                <a:latin typeface="+mn-lt"/>
                <a:ea typeface="+mn-ea"/>
                <a:cs typeface="+mn-cs"/>
              </a:defRPr>
            </a:pPr>
            <a:endParaRPr lang="en-US"/>
          </a:p>
        </c:txPr>
        <c:crossAx val="868577456"/>
        <c:crosses val="autoZero"/>
        <c:auto val="1"/>
        <c:lblAlgn val="ctr"/>
        <c:lblOffset val="100"/>
        <c:noMultiLvlLbl val="0"/>
      </c:catAx>
      <c:valAx>
        <c:axId val="86857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accent1"/>
                </a:solidFill>
                <a:latin typeface="+mn-lt"/>
                <a:ea typeface="+mn-ea"/>
                <a:cs typeface="+mn-cs"/>
              </a:defRPr>
            </a:pPr>
            <a:endParaRPr lang="en-US"/>
          </a:p>
        </c:txPr>
        <c:crossAx val="105671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Dashboard.xlsx]pivot!PivotTable9</c:name>
    <c:fmtId val="2"/>
  </c:pivotSource>
  <c:chart>
    <c:title>
      <c:tx>
        <c:rich>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r>
              <a:rPr lang="en-US" b="1">
                <a:solidFill>
                  <a:schemeClr val="accent1"/>
                </a:solidFill>
              </a:rPr>
              <a:t>Revenue</a:t>
            </a:r>
            <a:r>
              <a:rPr lang="en-US" b="1" baseline="0">
                <a:solidFill>
                  <a:schemeClr val="accent1"/>
                </a:solidFill>
              </a:rPr>
              <a:t> By Region</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pivot!$Q$7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36-40D6-BBFB-155ECA9746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36-40D6-BBFB-155ECA9746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F36-40D6-BBFB-155ECA9746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F36-40D6-BBFB-155ECA9746D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F36-40D6-BBFB-155ECA9746D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pivot!$P$8:$P$13</c:f>
              <c:strCache>
                <c:ptCount val="5"/>
                <c:pt idx="0">
                  <c:v>Central</c:v>
                </c:pt>
                <c:pt idx="1">
                  <c:v>East</c:v>
                </c:pt>
                <c:pt idx="2">
                  <c:v>North</c:v>
                </c:pt>
                <c:pt idx="3">
                  <c:v>South</c:v>
                </c:pt>
                <c:pt idx="4">
                  <c:v>West</c:v>
                </c:pt>
              </c:strCache>
            </c:strRef>
          </c:cat>
          <c:val>
            <c:numRef>
              <c:f>pivot!$Q$8:$Q$13</c:f>
              <c:numCache>
                <c:formatCode>General</c:formatCode>
                <c:ptCount val="5"/>
                <c:pt idx="0">
                  <c:v>3102</c:v>
                </c:pt>
                <c:pt idx="1">
                  <c:v>3078</c:v>
                </c:pt>
                <c:pt idx="2">
                  <c:v>3442</c:v>
                </c:pt>
                <c:pt idx="3">
                  <c:v>2953</c:v>
                </c:pt>
                <c:pt idx="4">
                  <c:v>3041</c:v>
                </c:pt>
              </c:numCache>
            </c:numRef>
          </c:val>
          <c:extLst>
            <c:ext xmlns:c16="http://schemas.microsoft.com/office/drawing/2014/chart" uri="{C3380CC4-5D6E-409C-BE32-E72D297353CC}">
              <c16:uniqueId val="{0000000A-0F36-40D6-BBFB-155ECA9746D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accen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Performance Dashboard.xlsx]pivot!PivotTable10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pivot!$J$3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pivot!$I$4:$I$11</c:f>
              <c:strCache>
                <c:ptCount val="7"/>
                <c:pt idx="0">
                  <c:v>Chair</c:v>
                </c:pt>
                <c:pt idx="1">
                  <c:v>Desk</c:v>
                </c:pt>
                <c:pt idx="2">
                  <c:v>Laptop</c:v>
                </c:pt>
                <c:pt idx="3">
                  <c:v>Monitor</c:v>
                </c:pt>
                <c:pt idx="4">
                  <c:v>Phone</c:v>
                </c:pt>
                <c:pt idx="5">
                  <c:v>Printer</c:v>
                </c:pt>
                <c:pt idx="6">
                  <c:v>Tablet</c:v>
                </c:pt>
              </c:strCache>
            </c:strRef>
          </c:cat>
          <c:val>
            <c:numRef>
              <c:f>pivot!$J$4:$J$11</c:f>
              <c:numCache>
                <c:formatCode>General</c:formatCode>
                <c:ptCount val="7"/>
                <c:pt idx="0">
                  <c:v>2115</c:v>
                </c:pt>
                <c:pt idx="1">
                  <c:v>2026</c:v>
                </c:pt>
                <c:pt idx="2">
                  <c:v>2408</c:v>
                </c:pt>
                <c:pt idx="3">
                  <c:v>2184</c:v>
                </c:pt>
                <c:pt idx="4">
                  <c:v>1970</c:v>
                </c:pt>
                <c:pt idx="5">
                  <c:v>2336</c:v>
                </c:pt>
                <c:pt idx="6">
                  <c:v>2577</c:v>
                </c:pt>
              </c:numCache>
            </c:numRef>
          </c:val>
          <c:extLst>
            <c:ext xmlns:c16="http://schemas.microsoft.com/office/drawing/2014/chart" uri="{C3380CC4-5D6E-409C-BE32-E72D297353CC}">
              <c16:uniqueId val="{00000000-A67E-4D7C-BC49-499407970B4B}"/>
            </c:ext>
          </c:extLst>
        </c:ser>
        <c:dLbls>
          <c:dLblPos val="outEnd"/>
          <c:showLegendKey val="0"/>
          <c:showVal val="1"/>
          <c:showCatName val="0"/>
          <c:showSerName val="0"/>
          <c:showPercent val="0"/>
          <c:showBubbleSize val="0"/>
        </c:dLbls>
        <c:gapWidth val="182"/>
        <c:axId val="1056752960"/>
        <c:axId val="868605296"/>
      </c:barChart>
      <c:catAx>
        <c:axId val="10567529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accent1"/>
                </a:solidFill>
                <a:latin typeface="+mn-lt"/>
                <a:ea typeface="+mn-ea"/>
                <a:cs typeface="+mn-cs"/>
              </a:defRPr>
            </a:pPr>
            <a:endParaRPr lang="en-US"/>
          </a:p>
        </c:txPr>
        <c:crossAx val="868605296"/>
        <c:crosses val="autoZero"/>
        <c:auto val="1"/>
        <c:lblAlgn val="ctr"/>
        <c:lblOffset val="100"/>
        <c:noMultiLvlLbl val="0"/>
      </c:catAx>
      <c:valAx>
        <c:axId val="8686052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accent1"/>
                </a:solidFill>
                <a:latin typeface="+mn-lt"/>
                <a:ea typeface="+mn-ea"/>
                <a:cs typeface="+mn-cs"/>
              </a:defRPr>
            </a:pPr>
            <a:endParaRPr lang="en-US"/>
          </a:p>
        </c:txPr>
        <c:crossAx val="1056752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0.xml"/><Relationship Id="rId7" Type="http://schemas.openxmlformats.org/officeDocument/2006/relationships/image" Target="../media/image2.sv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png"/><Relationship Id="rId5"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2</xdr:col>
      <xdr:colOff>426720</xdr:colOff>
      <xdr:row>35</xdr:row>
      <xdr:rowOff>102870</xdr:rowOff>
    </xdr:from>
    <xdr:to>
      <xdr:col>7</xdr:col>
      <xdr:colOff>45720</xdr:colOff>
      <xdr:row>50</xdr:row>
      <xdr:rowOff>102870</xdr:rowOff>
    </xdr:to>
    <xdr:graphicFrame macro="">
      <xdr:nvGraphicFramePr>
        <xdr:cNvPr id="3" name="Chart 2">
          <a:extLst>
            <a:ext uri="{FF2B5EF4-FFF2-40B4-BE49-F238E27FC236}">
              <a16:creationId xmlns:a16="http://schemas.microsoft.com/office/drawing/2014/main" id="{474930B3-CDE4-8972-D6E7-DA7EAD9EDC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548640</xdr:colOff>
      <xdr:row>30</xdr:row>
      <xdr:rowOff>57150</xdr:rowOff>
    </xdr:from>
    <xdr:to>
      <xdr:col>8</xdr:col>
      <xdr:colOff>518160</xdr:colOff>
      <xdr:row>45</xdr:row>
      <xdr:rowOff>57150</xdr:rowOff>
    </xdr:to>
    <xdr:graphicFrame macro="">
      <xdr:nvGraphicFramePr>
        <xdr:cNvPr id="6" name="Chart 5">
          <a:extLst>
            <a:ext uri="{FF2B5EF4-FFF2-40B4-BE49-F238E27FC236}">
              <a16:creationId xmlns:a16="http://schemas.microsoft.com/office/drawing/2014/main" id="{1C5E9D4D-7362-BD68-B05B-6FCD8BE852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975360</xdr:colOff>
      <xdr:row>30</xdr:row>
      <xdr:rowOff>49530</xdr:rowOff>
    </xdr:from>
    <xdr:to>
      <xdr:col>14</xdr:col>
      <xdr:colOff>60960</xdr:colOff>
      <xdr:row>45</xdr:row>
      <xdr:rowOff>49530</xdr:rowOff>
    </xdr:to>
    <xdr:graphicFrame macro="">
      <xdr:nvGraphicFramePr>
        <xdr:cNvPr id="7" name="Chart 6">
          <a:extLst>
            <a:ext uri="{FF2B5EF4-FFF2-40B4-BE49-F238E27FC236}">
              <a16:creationId xmlns:a16="http://schemas.microsoft.com/office/drawing/2014/main" id="{E0C3C0DF-D3EF-036E-AA03-1DE59BD33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175260</xdr:colOff>
      <xdr:row>34</xdr:row>
      <xdr:rowOff>102870</xdr:rowOff>
    </xdr:from>
    <xdr:to>
      <xdr:col>5</xdr:col>
      <xdr:colOff>266700</xdr:colOff>
      <xdr:row>49</xdr:row>
      <xdr:rowOff>102870</xdr:rowOff>
    </xdr:to>
    <xdr:graphicFrame macro="">
      <xdr:nvGraphicFramePr>
        <xdr:cNvPr id="8" name="Chart 7">
          <a:extLst>
            <a:ext uri="{FF2B5EF4-FFF2-40B4-BE49-F238E27FC236}">
              <a16:creationId xmlns:a16="http://schemas.microsoft.com/office/drawing/2014/main" id="{699EA02A-35FA-EFAE-C166-4B59D4D464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556260</xdr:colOff>
      <xdr:row>30</xdr:row>
      <xdr:rowOff>26670</xdr:rowOff>
    </xdr:from>
    <xdr:to>
      <xdr:col>5</xdr:col>
      <xdr:colOff>1257300</xdr:colOff>
      <xdr:row>45</xdr:row>
      <xdr:rowOff>26670</xdr:rowOff>
    </xdr:to>
    <xdr:graphicFrame macro="">
      <xdr:nvGraphicFramePr>
        <xdr:cNvPr id="9" name="Chart 8">
          <a:extLst>
            <a:ext uri="{FF2B5EF4-FFF2-40B4-BE49-F238E27FC236}">
              <a16:creationId xmlns:a16="http://schemas.microsoft.com/office/drawing/2014/main" id="{10313D36-A744-2B79-CF6E-064F133714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746760</xdr:colOff>
      <xdr:row>24</xdr:row>
      <xdr:rowOff>95250</xdr:rowOff>
    </xdr:from>
    <xdr:to>
      <xdr:col>21</xdr:col>
      <xdr:colOff>601980</xdr:colOff>
      <xdr:row>39</xdr:row>
      <xdr:rowOff>95250</xdr:rowOff>
    </xdr:to>
    <xdr:graphicFrame macro="">
      <xdr:nvGraphicFramePr>
        <xdr:cNvPr id="10" name="Chart 9">
          <a:extLst>
            <a:ext uri="{FF2B5EF4-FFF2-40B4-BE49-F238E27FC236}">
              <a16:creationId xmlns:a16="http://schemas.microsoft.com/office/drawing/2014/main" id="{80C7F541-7E7C-EC59-8AF2-CD9F9861C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533400</xdr:colOff>
      <xdr:row>3</xdr:row>
      <xdr:rowOff>49530</xdr:rowOff>
    </xdr:from>
    <xdr:to>
      <xdr:col>24</xdr:col>
      <xdr:colOff>144780</xdr:colOff>
      <xdr:row>18</xdr:row>
      <xdr:rowOff>49530</xdr:rowOff>
    </xdr:to>
    <xdr:graphicFrame macro="">
      <xdr:nvGraphicFramePr>
        <xdr:cNvPr id="11" name="Chart 10">
          <a:extLst>
            <a:ext uri="{FF2B5EF4-FFF2-40B4-BE49-F238E27FC236}">
              <a16:creationId xmlns:a16="http://schemas.microsoft.com/office/drawing/2014/main" id="{06909E8A-AB90-AFE8-630A-7F1A71C9FD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662940</xdr:colOff>
      <xdr:row>4</xdr:row>
      <xdr:rowOff>144780</xdr:rowOff>
    </xdr:from>
    <xdr:to>
      <xdr:col>15</xdr:col>
      <xdr:colOff>365760</xdr:colOff>
      <xdr:row>18</xdr:row>
      <xdr:rowOff>51435</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5C6DBF90-01CA-1775-F9A8-4C6655B407C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97640" y="8763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106680</xdr:colOff>
      <xdr:row>10</xdr:row>
      <xdr:rowOff>38100</xdr:rowOff>
    </xdr:from>
    <xdr:to>
      <xdr:col>15</xdr:col>
      <xdr:colOff>518160</xdr:colOff>
      <xdr:row>23</xdr:row>
      <xdr:rowOff>127635</xdr:rowOff>
    </xdr:to>
    <mc:AlternateContent xmlns:mc="http://schemas.openxmlformats.org/markup-compatibility/2006" xmlns:a14="http://schemas.microsoft.com/office/drawing/2010/main">
      <mc:Choice Requires="a14">
        <xdr:graphicFrame macro="">
          <xdr:nvGraphicFramePr>
            <xdr:cNvPr id="13" name="PaymentMethod">
              <a:extLst>
                <a:ext uri="{FF2B5EF4-FFF2-40B4-BE49-F238E27FC236}">
                  <a16:creationId xmlns:a16="http://schemas.microsoft.com/office/drawing/2014/main" id="{35ED5395-E299-A230-A277-75D7BF7804A1}"/>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mlns="">
        <xdr:sp macro="" textlink="">
          <xdr:nvSpPr>
            <xdr:cNvPr id="0" name=""/>
            <xdr:cNvSpPr>
              <a:spLocks noTextEdit="1"/>
            </xdr:cNvSpPr>
          </xdr:nvSpPr>
          <xdr:spPr>
            <a:xfrm>
              <a:off x="11750040" y="18669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624840</xdr:colOff>
      <xdr:row>4</xdr:row>
      <xdr:rowOff>7620</xdr:rowOff>
    </xdr:from>
    <xdr:to>
      <xdr:col>16</xdr:col>
      <xdr:colOff>883920</xdr:colOff>
      <xdr:row>17</xdr:row>
      <xdr:rowOff>97155</xdr:rowOff>
    </xdr:to>
    <mc:AlternateContent xmlns:mc="http://schemas.openxmlformats.org/markup-compatibility/2006" xmlns:a14="http://schemas.microsoft.com/office/drawing/2010/main">
      <mc:Choice Requires="a14">
        <xdr:graphicFrame macro="">
          <xdr:nvGraphicFramePr>
            <xdr:cNvPr id="14" name="Product">
              <a:extLst>
                <a:ext uri="{FF2B5EF4-FFF2-40B4-BE49-F238E27FC236}">
                  <a16:creationId xmlns:a16="http://schemas.microsoft.com/office/drawing/2014/main" id="{CF13A73E-53FF-57DA-5BA3-CD57B0B5C50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976860" y="739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601980</xdr:colOff>
      <xdr:row>11</xdr:row>
      <xdr:rowOff>30480</xdr:rowOff>
    </xdr:from>
    <xdr:to>
      <xdr:col>9</xdr:col>
      <xdr:colOff>670560</xdr:colOff>
      <xdr:row>24</xdr:row>
      <xdr:rowOff>120015</xdr:rowOff>
    </xdr:to>
    <mc:AlternateContent xmlns:mc="http://schemas.openxmlformats.org/markup-compatibility/2006" xmlns:a14="http://schemas.microsoft.com/office/drawing/2010/main">
      <mc:Choice Requires="a14">
        <xdr:graphicFrame macro="">
          <xdr:nvGraphicFramePr>
            <xdr:cNvPr id="15" name="Date (Year)">
              <a:extLst>
                <a:ext uri="{FF2B5EF4-FFF2-40B4-BE49-F238E27FC236}">
                  <a16:creationId xmlns:a16="http://schemas.microsoft.com/office/drawing/2014/main" id="{6F1B2A0D-EF21-0EAE-9A74-491D75BA045C}"/>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7025640" y="2042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358140</xdr:colOff>
      <xdr:row>19</xdr:row>
      <xdr:rowOff>15240</xdr:rowOff>
    </xdr:from>
    <xdr:to>
      <xdr:col>7</xdr:col>
      <xdr:colOff>243840</xdr:colOff>
      <xdr:row>32</xdr:row>
      <xdr:rowOff>104775</xdr:rowOff>
    </xdr:to>
    <mc:AlternateContent xmlns:mc="http://schemas.openxmlformats.org/markup-compatibility/2006" xmlns:a14="http://schemas.microsoft.com/office/drawing/2010/main">
      <mc:Choice Requires="a14">
        <xdr:graphicFrame macro="">
          <xdr:nvGraphicFramePr>
            <xdr:cNvPr id="16" name="Date (Quarter)">
              <a:extLst>
                <a:ext uri="{FF2B5EF4-FFF2-40B4-BE49-F238E27FC236}">
                  <a16:creationId xmlns:a16="http://schemas.microsoft.com/office/drawing/2014/main" id="{100F2349-41F7-7161-4776-58C9E2034EC1}"/>
                </a:ext>
              </a:extLst>
            </xdr:cNvPr>
            <xdr:cNvGraphicFramePr/>
          </xdr:nvGraphicFramePr>
          <xdr:xfrm>
            <a:off x="0" y="0"/>
            <a:ext cx="0" cy="0"/>
          </xdr:xfrm>
          <a:graphic>
            <a:graphicData uri="http://schemas.microsoft.com/office/drawing/2010/slicer">
              <sle:slicer xmlns:sle="http://schemas.microsoft.com/office/drawing/2010/slicer" name="Date (Quarter)"/>
            </a:graphicData>
          </a:graphic>
        </xdr:graphicFrame>
      </mc:Choice>
      <mc:Fallback xmlns="">
        <xdr:sp macro="" textlink="">
          <xdr:nvSpPr>
            <xdr:cNvPr id="0" name=""/>
            <xdr:cNvSpPr>
              <a:spLocks noTextEdit="1"/>
            </xdr:cNvSpPr>
          </xdr:nvSpPr>
          <xdr:spPr>
            <a:xfrm>
              <a:off x="4838700" y="3489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777240</xdr:colOff>
      <xdr:row>11</xdr:row>
      <xdr:rowOff>7620</xdr:rowOff>
    </xdr:from>
    <xdr:to>
      <xdr:col>4</xdr:col>
      <xdr:colOff>175260</xdr:colOff>
      <xdr:row>16</xdr:row>
      <xdr:rowOff>45720</xdr:rowOff>
    </xdr:to>
    <xdr:sp macro="" textlink="">
      <xdr:nvSpPr>
        <xdr:cNvPr id="2" name="Rectangle: Rounded Corners 1">
          <a:extLst>
            <a:ext uri="{FF2B5EF4-FFF2-40B4-BE49-F238E27FC236}">
              <a16:creationId xmlns:a16="http://schemas.microsoft.com/office/drawing/2014/main" id="{1AEE00FE-5943-16BD-8E69-3B29BA447582}"/>
            </a:ext>
          </a:extLst>
        </xdr:cNvPr>
        <xdr:cNvSpPr/>
      </xdr:nvSpPr>
      <xdr:spPr>
        <a:xfrm>
          <a:off x="2247900" y="2019300"/>
          <a:ext cx="1546860" cy="9525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41260.94</a:t>
          </a:r>
        </a:p>
      </xdr:txBody>
    </xdr:sp>
    <xdr:clientData/>
  </xdr:twoCellAnchor>
  <xdr:twoCellAnchor>
    <xdr:from>
      <xdr:col>4</xdr:col>
      <xdr:colOff>220980</xdr:colOff>
      <xdr:row>0</xdr:row>
      <xdr:rowOff>0</xdr:rowOff>
    </xdr:from>
    <xdr:to>
      <xdr:col>5</xdr:col>
      <xdr:colOff>838200</xdr:colOff>
      <xdr:row>5</xdr:row>
      <xdr:rowOff>7620</xdr:rowOff>
    </xdr:to>
    <xdr:sp macro="" textlink="B12">
      <xdr:nvSpPr>
        <xdr:cNvPr id="18" name="Rectangle: Rounded Corners 17">
          <a:extLst>
            <a:ext uri="{FF2B5EF4-FFF2-40B4-BE49-F238E27FC236}">
              <a16:creationId xmlns:a16="http://schemas.microsoft.com/office/drawing/2014/main" id="{7630CE8E-B452-90A1-88A1-E18285F4B81B}"/>
            </a:ext>
          </a:extLst>
        </xdr:cNvPr>
        <xdr:cNvSpPr/>
      </xdr:nvSpPr>
      <xdr:spPr>
        <a:xfrm>
          <a:off x="3840480" y="0"/>
          <a:ext cx="1478280" cy="9220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88E94C08-D8C3-4622-BB9F-1763A86EC6E1}" type="TxLink">
            <a:rPr lang="en-US" sz="1100" b="0" i="0" u="none" strike="noStrike">
              <a:solidFill>
                <a:srgbClr val="000000"/>
              </a:solidFill>
              <a:latin typeface="Calibri"/>
              <a:ea typeface="Calibri"/>
              <a:cs typeface="Calibri"/>
            </a:rPr>
            <a:pPr algn="l"/>
            <a:t>448240.42</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338666</xdr:colOff>
      <xdr:row>1</xdr:row>
      <xdr:rowOff>0</xdr:rowOff>
    </xdr:from>
    <xdr:to>
      <xdr:col>30</xdr:col>
      <xdr:colOff>606777</xdr:colOff>
      <xdr:row>63</xdr:row>
      <xdr:rowOff>84667</xdr:rowOff>
    </xdr:to>
    <xdr:sp macro="" textlink="">
      <xdr:nvSpPr>
        <xdr:cNvPr id="2" name="Rectangle: Rounded Corners 1">
          <a:extLst>
            <a:ext uri="{FF2B5EF4-FFF2-40B4-BE49-F238E27FC236}">
              <a16:creationId xmlns:a16="http://schemas.microsoft.com/office/drawing/2014/main" id="{4ACBE3EF-A169-9718-90DD-116725FCFEF7}"/>
            </a:ext>
          </a:extLst>
        </xdr:cNvPr>
        <xdr:cNvSpPr/>
      </xdr:nvSpPr>
      <xdr:spPr>
        <a:xfrm>
          <a:off x="945444" y="183444"/>
          <a:ext cx="17864666" cy="11458223"/>
        </a:xfrm>
        <a:prstGeom prst="roundRect">
          <a:avLst>
            <a:gd name="adj" fmla="val 11349"/>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solidFill>
          </a:endParaRPr>
        </a:p>
      </xdr:txBody>
    </xdr:sp>
    <xdr:clientData/>
  </xdr:twoCellAnchor>
  <xdr:twoCellAnchor>
    <xdr:from>
      <xdr:col>2</xdr:col>
      <xdr:colOff>465666</xdr:colOff>
      <xdr:row>5</xdr:row>
      <xdr:rowOff>70556</xdr:rowOff>
    </xdr:from>
    <xdr:to>
      <xdr:col>30</xdr:col>
      <xdr:colOff>465667</xdr:colOff>
      <xdr:row>62</xdr:row>
      <xdr:rowOff>56444</xdr:rowOff>
    </xdr:to>
    <xdr:sp macro="" textlink="">
      <xdr:nvSpPr>
        <xdr:cNvPr id="3" name="Rectangle: Rounded Corners 2">
          <a:extLst>
            <a:ext uri="{FF2B5EF4-FFF2-40B4-BE49-F238E27FC236}">
              <a16:creationId xmlns:a16="http://schemas.microsoft.com/office/drawing/2014/main" id="{E6EDA7ED-99A2-46B9-8556-7E9F2AF49CB7}"/>
            </a:ext>
          </a:extLst>
        </xdr:cNvPr>
        <xdr:cNvSpPr/>
      </xdr:nvSpPr>
      <xdr:spPr>
        <a:xfrm>
          <a:off x="1679222" y="987778"/>
          <a:ext cx="16989778" cy="10442222"/>
        </a:xfrm>
        <a:prstGeom prst="roundRect">
          <a:avLst>
            <a:gd name="adj" fmla="val 11349"/>
          </a:avLst>
        </a:prstGeom>
        <a:solidFill>
          <a:schemeClr val="tx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solidFill>
          </a:endParaRPr>
        </a:p>
      </xdr:txBody>
    </xdr:sp>
    <xdr:clientData/>
  </xdr:twoCellAnchor>
  <xdr:twoCellAnchor>
    <xdr:from>
      <xdr:col>4</xdr:col>
      <xdr:colOff>199965</xdr:colOff>
      <xdr:row>6</xdr:row>
      <xdr:rowOff>132292</xdr:rowOff>
    </xdr:from>
    <xdr:to>
      <xdr:col>7</xdr:col>
      <xdr:colOff>368186</xdr:colOff>
      <xdr:row>56</xdr:row>
      <xdr:rowOff>63350</xdr:rowOff>
    </xdr:to>
    <xdr:sp macro="" textlink="">
      <xdr:nvSpPr>
        <xdr:cNvPr id="5" name="Rectangle: Rounded Corners 4">
          <a:extLst>
            <a:ext uri="{FF2B5EF4-FFF2-40B4-BE49-F238E27FC236}">
              <a16:creationId xmlns:a16="http://schemas.microsoft.com/office/drawing/2014/main" id="{D9912FE7-DF1A-4AB1-88F4-98A58B5B8CC9}"/>
            </a:ext>
          </a:extLst>
        </xdr:cNvPr>
        <xdr:cNvSpPr/>
      </xdr:nvSpPr>
      <xdr:spPr>
        <a:xfrm>
          <a:off x="2627076" y="1232959"/>
          <a:ext cx="1988554" cy="910328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solidFill>
          </a:endParaRPr>
        </a:p>
      </xdr:txBody>
    </xdr:sp>
    <xdr:clientData/>
  </xdr:twoCellAnchor>
  <xdr:twoCellAnchor>
    <xdr:from>
      <xdr:col>19</xdr:col>
      <xdr:colOff>268111</xdr:colOff>
      <xdr:row>7</xdr:row>
      <xdr:rowOff>141112</xdr:rowOff>
    </xdr:from>
    <xdr:to>
      <xdr:col>24</xdr:col>
      <xdr:colOff>493888</xdr:colOff>
      <xdr:row>15</xdr:row>
      <xdr:rowOff>141111</xdr:rowOff>
    </xdr:to>
    <xdr:sp macro="" textlink="pivot!$L$6">
      <xdr:nvSpPr>
        <xdr:cNvPr id="8" name="Rectangle: Rounded Corners 7">
          <a:extLst>
            <a:ext uri="{FF2B5EF4-FFF2-40B4-BE49-F238E27FC236}">
              <a16:creationId xmlns:a16="http://schemas.microsoft.com/office/drawing/2014/main" id="{3CE2EB14-A502-4C4B-8327-75F8C60515EC}"/>
            </a:ext>
          </a:extLst>
        </xdr:cNvPr>
        <xdr:cNvSpPr/>
      </xdr:nvSpPr>
      <xdr:spPr>
        <a:xfrm>
          <a:off x="11796889" y="1425223"/>
          <a:ext cx="3259666" cy="146755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800" b="1" i="0" u="none" strike="noStrike">
              <a:solidFill>
                <a:schemeClr val="accent1"/>
              </a:solidFill>
              <a:latin typeface="Calibri"/>
              <a:ea typeface="Calibri"/>
              <a:cs typeface="Calibri"/>
            </a:rPr>
            <a:t>Total</a:t>
          </a:r>
          <a:r>
            <a:rPr lang="en-US" sz="1800" b="1" i="0" u="none" strike="noStrike" baseline="0">
              <a:solidFill>
                <a:schemeClr val="accent1"/>
              </a:solidFill>
              <a:latin typeface="Calibri"/>
              <a:ea typeface="Calibri"/>
              <a:cs typeface="Calibri"/>
            </a:rPr>
            <a:t> quantity</a:t>
          </a:r>
          <a:endParaRPr lang="en-US" sz="1800" b="1" i="0" u="none" strike="noStrike">
            <a:solidFill>
              <a:schemeClr val="accent1"/>
            </a:solidFill>
            <a:latin typeface="Calibri"/>
            <a:ea typeface="Calibri"/>
            <a:cs typeface="Calibri"/>
          </a:endParaRPr>
        </a:p>
        <a:p>
          <a:pPr algn="r"/>
          <a:endParaRPr lang="en-US" sz="1800" b="1" i="0" u="none" strike="noStrike">
            <a:solidFill>
              <a:schemeClr val="accent1"/>
            </a:solidFill>
            <a:latin typeface="Calibri"/>
            <a:ea typeface="Calibri"/>
            <a:cs typeface="Calibri"/>
          </a:endParaRPr>
        </a:p>
        <a:p>
          <a:pPr algn="r"/>
          <a:fld id="{C6BD076F-9A23-4A45-8926-5D8F33067BE9}" type="TxLink">
            <a:rPr lang="en-US" sz="1800" b="1" i="0" u="none" strike="noStrike">
              <a:solidFill>
                <a:schemeClr val="accent1"/>
              </a:solidFill>
              <a:latin typeface="Calibri"/>
              <a:ea typeface="Calibri"/>
              <a:cs typeface="Calibri"/>
            </a:rPr>
            <a:pPr algn="r"/>
            <a:t>15616</a:t>
          </a:fld>
          <a:endParaRPr lang="en-IN" sz="1800" b="1" i="0">
            <a:solidFill>
              <a:schemeClr val="accent1"/>
            </a:solidFill>
          </a:endParaRPr>
        </a:p>
      </xdr:txBody>
    </xdr:sp>
    <xdr:clientData/>
  </xdr:twoCellAnchor>
  <xdr:twoCellAnchor>
    <xdr:from>
      <xdr:col>25</xdr:col>
      <xdr:colOff>169334</xdr:colOff>
      <xdr:row>7</xdr:row>
      <xdr:rowOff>169334</xdr:rowOff>
    </xdr:from>
    <xdr:to>
      <xdr:col>30</xdr:col>
      <xdr:colOff>296334</xdr:colOff>
      <xdr:row>15</xdr:row>
      <xdr:rowOff>121149</xdr:rowOff>
    </xdr:to>
    <xdr:sp macro="" textlink="pivot!$L$12">
      <xdr:nvSpPr>
        <xdr:cNvPr id="9" name="Rectangle: Rounded Corners 8">
          <a:extLst>
            <a:ext uri="{FF2B5EF4-FFF2-40B4-BE49-F238E27FC236}">
              <a16:creationId xmlns:a16="http://schemas.microsoft.com/office/drawing/2014/main" id="{0AB5BBFC-F0D0-4168-ACB8-FD09D4DC5CB6}"/>
            </a:ext>
          </a:extLst>
        </xdr:cNvPr>
        <xdr:cNvSpPr/>
      </xdr:nvSpPr>
      <xdr:spPr>
        <a:xfrm>
          <a:off x="15338778" y="1453445"/>
          <a:ext cx="3160889" cy="141937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800" b="1" i="0" u="none" strike="noStrike">
              <a:solidFill>
                <a:schemeClr val="accent1"/>
              </a:solidFill>
              <a:latin typeface="Calibri"/>
              <a:ea typeface="Calibri"/>
              <a:cs typeface="Calibri"/>
            </a:rPr>
            <a:t>Total</a:t>
          </a:r>
          <a:r>
            <a:rPr lang="en-US" sz="1800" b="1" i="0" u="none" strike="noStrike" baseline="0">
              <a:solidFill>
                <a:schemeClr val="accent1"/>
              </a:solidFill>
              <a:latin typeface="Calibri"/>
              <a:ea typeface="Calibri"/>
              <a:cs typeface="Calibri"/>
            </a:rPr>
            <a:t> price</a:t>
          </a:r>
          <a:endParaRPr lang="en-US" sz="1800" b="1" i="0" u="none" strike="noStrike">
            <a:solidFill>
              <a:schemeClr val="accent1"/>
            </a:solidFill>
            <a:latin typeface="Calibri"/>
            <a:ea typeface="Calibri"/>
            <a:cs typeface="Calibri"/>
          </a:endParaRPr>
        </a:p>
        <a:p>
          <a:pPr algn="r"/>
          <a:endParaRPr lang="en-US" sz="1800" b="1" i="0" u="none" strike="noStrike">
            <a:solidFill>
              <a:schemeClr val="accent1"/>
            </a:solidFill>
            <a:latin typeface="Calibri"/>
            <a:ea typeface="Calibri"/>
            <a:cs typeface="Calibri"/>
          </a:endParaRPr>
        </a:p>
        <a:p>
          <a:pPr algn="r"/>
          <a:fld id="{EF501EC8-7041-4CED-8DF8-B3CB728CA005}" type="TxLink">
            <a:rPr lang="en-US" sz="1800" b="1" i="0" u="none" strike="noStrike">
              <a:solidFill>
                <a:schemeClr val="accent1"/>
              </a:solidFill>
              <a:latin typeface="Calibri"/>
              <a:ea typeface="Calibri"/>
              <a:cs typeface="Calibri"/>
            </a:rPr>
            <a:pPr algn="r"/>
            <a:t>4379992.429</a:t>
          </a:fld>
          <a:endParaRPr lang="en-IN" sz="1800" b="1">
            <a:solidFill>
              <a:schemeClr val="accent1"/>
            </a:solidFill>
          </a:endParaRPr>
        </a:p>
      </xdr:txBody>
    </xdr:sp>
    <xdr:clientData/>
  </xdr:twoCellAnchor>
  <xdr:twoCellAnchor>
    <xdr:from>
      <xdr:col>9</xdr:col>
      <xdr:colOff>147053</xdr:colOff>
      <xdr:row>1</xdr:row>
      <xdr:rowOff>105509</xdr:rowOff>
    </xdr:from>
    <xdr:to>
      <xdr:col>25</xdr:col>
      <xdr:colOff>507999</xdr:colOff>
      <xdr:row>4</xdr:row>
      <xdr:rowOff>0</xdr:rowOff>
    </xdr:to>
    <xdr:sp macro="" textlink="">
      <xdr:nvSpPr>
        <xdr:cNvPr id="10" name="TextBox 9">
          <a:extLst>
            <a:ext uri="{FF2B5EF4-FFF2-40B4-BE49-F238E27FC236}">
              <a16:creationId xmlns:a16="http://schemas.microsoft.com/office/drawing/2014/main" id="{3783C954-34FA-D369-E329-E5A487406CE8}"/>
            </a:ext>
          </a:extLst>
        </xdr:cNvPr>
        <xdr:cNvSpPr txBox="1"/>
      </xdr:nvSpPr>
      <xdr:spPr>
        <a:xfrm>
          <a:off x="5681579" y="292667"/>
          <a:ext cx="10200104" cy="4559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aseline="0">
              <a:solidFill>
                <a:schemeClr val="tx1"/>
              </a:solidFill>
            </a:rPr>
            <a:t>Sales performance dashborad</a:t>
          </a:r>
          <a:r>
            <a:rPr lang="en-IN" sz="2800">
              <a:solidFill>
                <a:schemeClr val="accent1"/>
              </a:solidFill>
            </a:rPr>
            <a:t>erforSSmance Dashboard</a:t>
          </a:r>
        </a:p>
      </xdr:txBody>
    </xdr:sp>
    <xdr:clientData/>
  </xdr:twoCellAnchor>
  <xdr:twoCellAnchor>
    <xdr:from>
      <xdr:col>8</xdr:col>
      <xdr:colOff>40403</xdr:colOff>
      <xdr:row>17</xdr:row>
      <xdr:rowOff>14653</xdr:rowOff>
    </xdr:from>
    <xdr:to>
      <xdr:col>19</xdr:col>
      <xdr:colOff>42332</xdr:colOff>
      <xdr:row>35</xdr:row>
      <xdr:rowOff>140677</xdr:rowOff>
    </xdr:to>
    <xdr:graphicFrame macro="">
      <xdr:nvGraphicFramePr>
        <xdr:cNvPr id="12" name="Chart 11">
          <a:extLst>
            <a:ext uri="{FF2B5EF4-FFF2-40B4-BE49-F238E27FC236}">
              <a16:creationId xmlns:a16="http://schemas.microsoft.com/office/drawing/2014/main" id="{CD2D826F-83A3-439B-9824-AB32AFC4A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369954</xdr:colOff>
      <xdr:row>16</xdr:row>
      <xdr:rowOff>155223</xdr:rowOff>
    </xdr:from>
    <xdr:to>
      <xdr:col>30</xdr:col>
      <xdr:colOff>211667</xdr:colOff>
      <xdr:row>35</xdr:row>
      <xdr:rowOff>183012</xdr:rowOff>
    </xdr:to>
    <xdr:graphicFrame macro="">
      <xdr:nvGraphicFramePr>
        <xdr:cNvPr id="14" name="Chart 13">
          <a:extLst>
            <a:ext uri="{FF2B5EF4-FFF2-40B4-BE49-F238E27FC236}">
              <a16:creationId xmlns:a16="http://schemas.microsoft.com/office/drawing/2014/main" id="{9A9F311A-6FD4-43B1-B514-C1E2648A9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586155</xdr:colOff>
      <xdr:row>36</xdr:row>
      <xdr:rowOff>112889</xdr:rowOff>
    </xdr:from>
    <xdr:to>
      <xdr:col>15</xdr:col>
      <xdr:colOff>338666</xdr:colOff>
      <xdr:row>55</xdr:row>
      <xdr:rowOff>120806</xdr:rowOff>
    </xdr:to>
    <xdr:graphicFrame macro="">
      <xdr:nvGraphicFramePr>
        <xdr:cNvPr id="15" name="Chart 14">
          <a:extLst>
            <a:ext uri="{FF2B5EF4-FFF2-40B4-BE49-F238E27FC236}">
              <a16:creationId xmlns:a16="http://schemas.microsoft.com/office/drawing/2014/main" id="{79201D6C-5717-4C92-9D3C-8F2A1F2350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465666</xdr:colOff>
      <xdr:row>36</xdr:row>
      <xdr:rowOff>169333</xdr:rowOff>
    </xdr:from>
    <xdr:to>
      <xdr:col>23</xdr:col>
      <xdr:colOff>70555</xdr:colOff>
      <xdr:row>55</xdr:row>
      <xdr:rowOff>83634</xdr:rowOff>
    </xdr:to>
    <xdr:graphicFrame macro="">
      <xdr:nvGraphicFramePr>
        <xdr:cNvPr id="16" name="Chart 15">
          <a:extLst>
            <a:ext uri="{FF2B5EF4-FFF2-40B4-BE49-F238E27FC236}">
              <a16:creationId xmlns:a16="http://schemas.microsoft.com/office/drawing/2014/main" id="{A031A1DB-C6F1-47BD-B09E-28F1FF2C08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281878</xdr:colOff>
      <xdr:row>37</xdr:row>
      <xdr:rowOff>103252</xdr:rowOff>
    </xdr:from>
    <xdr:to>
      <xdr:col>30</xdr:col>
      <xdr:colOff>352777</xdr:colOff>
      <xdr:row>54</xdr:row>
      <xdr:rowOff>155222</xdr:rowOff>
    </xdr:to>
    <xdr:graphicFrame macro="">
      <xdr:nvGraphicFramePr>
        <xdr:cNvPr id="17" name="Chart 16">
          <a:extLst>
            <a:ext uri="{FF2B5EF4-FFF2-40B4-BE49-F238E27FC236}">
              <a16:creationId xmlns:a16="http://schemas.microsoft.com/office/drawing/2014/main" id="{FB39D9DE-495E-49EC-8E9A-B102D3BD7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321113</xdr:colOff>
      <xdr:row>8</xdr:row>
      <xdr:rowOff>98777</xdr:rowOff>
    </xdr:from>
    <xdr:to>
      <xdr:col>7</xdr:col>
      <xdr:colOff>309961</xdr:colOff>
      <xdr:row>18</xdr:row>
      <xdr:rowOff>31320</xdr:rowOff>
    </xdr:to>
    <mc:AlternateContent xmlns:mc="http://schemas.openxmlformats.org/markup-compatibility/2006" xmlns:a14="http://schemas.microsoft.com/office/drawing/2010/main">
      <mc:Choice Requires="a14">
        <xdr:graphicFrame macro="">
          <xdr:nvGraphicFramePr>
            <xdr:cNvPr id="18" name="Date (Quarter) 1">
              <a:extLst>
                <a:ext uri="{FF2B5EF4-FFF2-40B4-BE49-F238E27FC236}">
                  <a16:creationId xmlns:a16="http://schemas.microsoft.com/office/drawing/2014/main" id="{C67508FD-3888-48F3-B208-FB95BBD63040}"/>
                </a:ext>
              </a:extLst>
            </xdr:cNvPr>
            <xdr:cNvGraphicFramePr/>
          </xdr:nvGraphicFramePr>
          <xdr:xfrm>
            <a:off x="0" y="0"/>
            <a:ext cx="0" cy="0"/>
          </xdr:xfrm>
          <a:graphic>
            <a:graphicData uri="http://schemas.microsoft.com/office/drawing/2010/slicer">
              <sle:slicer xmlns:sle="http://schemas.microsoft.com/office/drawing/2010/slicer" name="Date (Quarter) 1"/>
            </a:graphicData>
          </a:graphic>
        </xdr:graphicFrame>
      </mc:Choice>
      <mc:Fallback xmlns="">
        <xdr:sp macro="" textlink="">
          <xdr:nvSpPr>
            <xdr:cNvPr id="0" name=""/>
            <xdr:cNvSpPr>
              <a:spLocks noTextEdit="1"/>
            </xdr:cNvSpPr>
          </xdr:nvSpPr>
          <xdr:spPr>
            <a:xfrm>
              <a:off x="2748224" y="1566333"/>
              <a:ext cx="1809181" cy="1766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307347</xdr:colOff>
      <xdr:row>20</xdr:row>
      <xdr:rowOff>111985</xdr:rowOff>
    </xdr:from>
    <xdr:to>
      <xdr:col>7</xdr:col>
      <xdr:colOff>296195</xdr:colOff>
      <xdr:row>27</xdr:row>
      <xdr:rowOff>127000</xdr:rowOff>
    </xdr:to>
    <mc:AlternateContent xmlns:mc="http://schemas.openxmlformats.org/markup-compatibility/2006" xmlns:a14="http://schemas.microsoft.com/office/drawing/2010/main">
      <mc:Choice Requires="a14">
        <xdr:graphicFrame macro="">
          <xdr:nvGraphicFramePr>
            <xdr:cNvPr id="19" name="Date (Year) 1">
              <a:extLst>
                <a:ext uri="{FF2B5EF4-FFF2-40B4-BE49-F238E27FC236}">
                  <a16:creationId xmlns:a16="http://schemas.microsoft.com/office/drawing/2014/main" id="{EA2245F7-834A-4B17-852F-E5A9A0DB2E7D}"/>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2734458" y="3780874"/>
              <a:ext cx="1809181" cy="12991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284288</xdr:colOff>
      <xdr:row>29</xdr:row>
      <xdr:rowOff>98779</xdr:rowOff>
    </xdr:from>
    <xdr:to>
      <xdr:col>7</xdr:col>
      <xdr:colOff>273136</xdr:colOff>
      <xdr:row>40</xdr:row>
      <xdr:rowOff>9294</xdr:rowOff>
    </xdr:to>
    <mc:AlternateContent xmlns:mc="http://schemas.openxmlformats.org/markup-compatibility/2006" xmlns:a14="http://schemas.microsoft.com/office/drawing/2010/main">
      <mc:Choice Requires="a14">
        <xdr:graphicFrame macro="">
          <xdr:nvGraphicFramePr>
            <xdr:cNvPr id="20" name="Region 1">
              <a:extLst>
                <a:ext uri="{FF2B5EF4-FFF2-40B4-BE49-F238E27FC236}">
                  <a16:creationId xmlns:a16="http://schemas.microsoft.com/office/drawing/2014/main" id="{47337CF9-6FBD-403D-8F61-9054F5342AC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711399" y="5418668"/>
              <a:ext cx="1809181" cy="19284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255033</xdr:colOff>
      <xdr:row>42</xdr:row>
      <xdr:rowOff>97876</xdr:rowOff>
    </xdr:from>
    <xdr:to>
      <xdr:col>7</xdr:col>
      <xdr:colOff>243881</xdr:colOff>
      <xdr:row>52</xdr:row>
      <xdr:rowOff>87420</xdr:rowOff>
    </xdr:to>
    <mc:AlternateContent xmlns:mc="http://schemas.openxmlformats.org/markup-compatibility/2006" xmlns:a14="http://schemas.microsoft.com/office/drawing/2010/main">
      <mc:Choice Requires="a14">
        <xdr:graphicFrame macro="">
          <xdr:nvGraphicFramePr>
            <xdr:cNvPr id="21" name="PaymentMethod 1">
              <a:extLst>
                <a:ext uri="{FF2B5EF4-FFF2-40B4-BE49-F238E27FC236}">
                  <a16:creationId xmlns:a16="http://schemas.microsoft.com/office/drawing/2014/main" id="{A83B0235-ED8B-4A86-BADF-5FD4A2A305E6}"/>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2682144" y="7802543"/>
              <a:ext cx="1809181" cy="18239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506800</xdr:colOff>
      <xdr:row>7</xdr:row>
      <xdr:rowOff>141111</xdr:rowOff>
    </xdr:from>
    <xdr:to>
      <xdr:col>13</xdr:col>
      <xdr:colOff>98778</xdr:colOff>
      <xdr:row>15</xdr:row>
      <xdr:rowOff>70555</xdr:rowOff>
    </xdr:to>
    <xdr:sp macro="" textlink="pivot!$B$7">
      <xdr:nvSpPr>
        <xdr:cNvPr id="13" name="Rectangle: Rounded Corners 12">
          <a:extLst>
            <a:ext uri="{FF2B5EF4-FFF2-40B4-BE49-F238E27FC236}">
              <a16:creationId xmlns:a16="http://schemas.microsoft.com/office/drawing/2014/main" id="{F8873740-2D7E-46CD-9926-B582D3DA4386}"/>
            </a:ext>
          </a:extLst>
        </xdr:cNvPr>
        <xdr:cNvSpPr/>
      </xdr:nvSpPr>
      <xdr:spPr>
        <a:xfrm>
          <a:off x="4754244" y="1425222"/>
          <a:ext cx="3232645" cy="13970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r"/>
          <a:r>
            <a:rPr lang="en-US" sz="1800" b="1" i="0" u="none" strike="noStrike">
              <a:solidFill>
                <a:schemeClr val="accent1"/>
              </a:solidFill>
              <a:latin typeface="Calibri"/>
              <a:ea typeface="Calibri"/>
              <a:cs typeface="Calibri"/>
            </a:rPr>
            <a:t>Total</a:t>
          </a:r>
          <a:r>
            <a:rPr lang="en-US" sz="1800" b="1" i="0" u="none" strike="noStrike" baseline="0">
              <a:solidFill>
                <a:schemeClr val="accent1"/>
              </a:solidFill>
              <a:latin typeface="Calibri"/>
              <a:ea typeface="Calibri"/>
              <a:cs typeface="Calibri"/>
            </a:rPr>
            <a:t> shipingcost</a:t>
          </a:r>
          <a:endParaRPr lang="en-US" sz="1800" b="1" i="0" u="none" strike="noStrike">
            <a:solidFill>
              <a:schemeClr val="accent1"/>
            </a:solidFill>
            <a:latin typeface="Calibri"/>
            <a:ea typeface="Calibri"/>
            <a:cs typeface="Calibri"/>
          </a:endParaRPr>
        </a:p>
        <a:p>
          <a:pPr algn="r"/>
          <a:endParaRPr lang="en-US" sz="1800" b="1" i="0" u="none" strike="noStrike">
            <a:solidFill>
              <a:schemeClr val="accent1"/>
            </a:solidFill>
            <a:latin typeface="Calibri"/>
            <a:ea typeface="Calibri"/>
            <a:cs typeface="Calibri"/>
          </a:endParaRPr>
        </a:p>
        <a:p>
          <a:pPr algn="r"/>
          <a:r>
            <a:rPr lang="en-US" sz="1800" b="1" i="0" u="none" strike="noStrike">
              <a:solidFill>
                <a:schemeClr val="accent1"/>
              </a:solidFill>
              <a:latin typeface="Calibri"/>
              <a:ea typeface="Calibri"/>
              <a:cs typeface="Calibri"/>
            </a:rPr>
            <a:t> </a:t>
          </a:r>
          <a:fld id="{81607D0C-3C7B-45C0-9FA9-0E82B0024794}" type="TxLink">
            <a:rPr lang="en-US" sz="1800" b="1" i="0" u="none" strike="noStrike">
              <a:solidFill>
                <a:schemeClr val="accent1"/>
              </a:solidFill>
              <a:latin typeface="Calibri"/>
              <a:ea typeface="Calibri"/>
              <a:cs typeface="Calibri"/>
            </a:rPr>
            <a:pPr algn="r"/>
            <a:t>41260.94</a:t>
          </a:fld>
          <a:endParaRPr lang="en-IN" sz="1800" b="1">
            <a:solidFill>
              <a:schemeClr val="accent1"/>
            </a:solidFill>
          </a:endParaRPr>
        </a:p>
      </xdr:txBody>
    </xdr:sp>
    <xdr:clientData/>
  </xdr:twoCellAnchor>
  <xdr:twoCellAnchor editAs="oneCell">
    <xdr:from>
      <xdr:col>8</xdr:col>
      <xdr:colOff>242712</xdr:colOff>
      <xdr:row>9</xdr:row>
      <xdr:rowOff>169334</xdr:rowOff>
    </xdr:from>
    <xdr:to>
      <xdr:col>9</xdr:col>
      <xdr:colOff>550334</xdr:colOff>
      <xdr:row>13</xdr:row>
      <xdr:rowOff>166511</xdr:rowOff>
    </xdr:to>
    <xdr:pic>
      <xdr:nvPicPr>
        <xdr:cNvPr id="11" name="Graphic 10" descr="Money with solid fill">
          <a:extLst>
            <a:ext uri="{FF2B5EF4-FFF2-40B4-BE49-F238E27FC236}">
              <a16:creationId xmlns:a16="http://schemas.microsoft.com/office/drawing/2014/main" id="{E3EA09E5-E9D2-1C45-00BA-5B1915F6680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096934" y="1820334"/>
          <a:ext cx="914400" cy="730955"/>
        </a:xfrm>
        <a:prstGeom prst="rect">
          <a:avLst/>
        </a:prstGeom>
      </xdr:spPr>
    </xdr:pic>
    <xdr:clientData/>
  </xdr:twoCellAnchor>
  <xdr:twoCellAnchor>
    <xdr:from>
      <xdr:col>13</xdr:col>
      <xdr:colOff>295133</xdr:colOff>
      <xdr:row>7</xdr:row>
      <xdr:rowOff>155222</xdr:rowOff>
    </xdr:from>
    <xdr:to>
      <xdr:col>19</xdr:col>
      <xdr:colOff>14111</xdr:colOff>
      <xdr:row>15</xdr:row>
      <xdr:rowOff>169332</xdr:rowOff>
    </xdr:to>
    <xdr:sp macro="" textlink="pivot!$B$12">
      <xdr:nvSpPr>
        <xdr:cNvPr id="22" name="Rectangle: Rounded Corners 21">
          <a:extLst>
            <a:ext uri="{FF2B5EF4-FFF2-40B4-BE49-F238E27FC236}">
              <a16:creationId xmlns:a16="http://schemas.microsoft.com/office/drawing/2014/main" id="{056AAFDA-8DE1-4407-9590-783356FC35D0}"/>
            </a:ext>
          </a:extLst>
        </xdr:cNvPr>
        <xdr:cNvSpPr/>
      </xdr:nvSpPr>
      <xdr:spPr>
        <a:xfrm>
          <a:off x="8183244" y="1439333"/>
          <a:ext cx="3359645" cy="1481666"/>
        </a:xfrm>
        <a:prstGeom prst="roundRect">
          <a:avLst>
            <a:gd name="adj" fmla="val 19245"/>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US" sz="1800" b="1" i="0" u="none" strike="noStrike">
              <a:solidFill>
                <a:schemeClr val="accent1"/>
              </a:solidFill>
              <a:latin typeface="Calibri"/>
              <a:ea typeface="Calibri"/>
              <a:cs typeface="Calibri"/>
            </a:rPr>
            <a:t>Total unitprice</a:t>
          </a:r>
          <a:r>
            <a:rPr lang="en-US" sz="1800" b="1" i="0" u="none" strike="noStrike" baseline="0">
              <a:solidFill>
                <a:schemeClr val="accent1"/>
              </a:solidFill>
              <a:latin typeface="Calibri"/>
              <a:ea typeface="Calibri"/>
              <a:cs typeface="Calibri"/>
            </a:rPr>
            <a:t> </a:t>
          </a:r>
          <a:endParaRPr lang="en-US" sz="1800" b="1" i="0" u="none" strike="noStrike">
            <a:solidFill>
              <a:schemeClr val="accent1"/>
            </a:solidFill>
            <a:latin typeface="Calibri"/>
            <a:ea typeface="Calibri"/>
            <a:cs typeface="Calibri"/>
          </a:endParaRPr>
        </a:p>
        <a:p>
          <a:pPr algn="r"/>
          <a:endParaRPr lang="en-US" sz="1800" b="1" i="0" u="none" strike="noStrike">
            <a:solidFill>
              <a:schemeClr val="accent1"/>
            </a:solidFill>
            <a:latin typeface="Calibri"/>
            <a:ea typeface="Calibri"/>
            <a:cs typeface="Calibri"/>
          </a:endParaRPr>
        </a:p>
        <a:p>
          <a:pPr algn="r"/>
          <a:fld id="{C943B6B4-D8C4-4C11-A69B-55E5D1942552}" type="TxLink">
            <a:rPr lang="en-US" sz="1800" b="1" i="0" u="none" strike="noStrike">
              <a:solidFill>
                <a:schemeClr val="accent1"/>
              </a:solidFill>
              <a:latin typeface="Calibri"/>
              <a:ea typeface="Calibri"/>
              <a:cs typeface="Calibri"/>
            </a:rPr>
            <a:pPr algn="r"/>
            <a:t>448240.42</a:t>
          </a:fld>
          <a:endParaRPr lang="en-IN" sz="1800" b="1">
            <a:solidFill>
              <a:schemeClr val="accent1"/>
            </a:solidFill>
          </a:endParaRPr>
        </a:p>
      </xdr:txBody>
    </xdr:sp>
    <xdr:clientData/>
  </xdr:twoCellAnchor>
  <xdr:twoCellAnchor editAs="oneCell">
    <xdr:from>
      <xdr:col>13</xdr:col>
      <xdr:colOff>468489</xdr:colOff>
      <xdr:row>10</xdr:row>
      <xdr:rowOff>0</xdr:rowOff>
    </xdr:from>
    <xdr:to>
      <xdr:col>15</xdr:col>
      <xdr:colOff>169333</xdr:colOff>
      <xdr:row>13</xdr:row>
      <xdr:rowOff>180622</xdr:rowOff>
    </xdr:to>
    <xdr:pic>
      <xdr:nvPicPr>
        <xdr:cNvPr id="24" name="Graphic 23" descr="Euro with solid fill">
          <a:extLst>
            <a:ext uri="{FF2B5EF4-FFF2-40B4-BE49-F238E27FC236}">
              <a16:creationId xmlns:a16="http://schemas.microsoft.com/office/drawing/2014/main" id="{112861B6-7349-7C8D-2132-F7295CF23C0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356600" y="1834444"/>
          <a:ext cx="914400" cy="73095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bhi Yuvgavkar" refreshedDate="46300.744784722221" backgroundQuery="1" createdVersion="8" refreshedVersion="8" minRefreshableVersion="3" recordCount="0" supportSubquery="1" supportAdvancedDrill="1" xr:uid="{F1EE562F-C953-4222-894C-F75FDB558EA2}">
  <cacheSource type="external" connectionId="1"/>
  <cacheFields count="3">
    <cacheField name="[Range].[Region].[Region]" caption="Region" numFmtId="0" hierarchy="1" level="1">
      <sharedItems count="5">
        <s v="Central"/>
        <s v="East"/>
        <s v="North"/>
        <s v="South"/>
        <s v="West"/>
      </sharedItems>
    </cacheField>
    <cacheField name="[Measures].[Sum of Quantity]" caption="Sum of Quantity" numFmtId="0" hierarchy="30" level="32767"/>
    <cacheField name="[Range].[PaymentMethod].[PaymentMethod]" caption="PaymentMethod" numFmtId="0" hierarchy="10" level="1">
      <sharedItems containsSemiMixedTypes="0" containsNonDate="0" containsString="0"/>
    </cacheField>
  </cacheFields>
  <cacheHierarchies count="38">
    <cacheHierarchy uniqueName="[Range].[Date]" caption="Date" attribute="1" time="1" defaultMemberUniqueName="[Range].[Date].[All]" allUniqueName="[Range].[Date].[All]" dimensionUniqueName="[Range]" displayFolder="" count="2" memberValueDatatype="7" unbalanced="0"/>
    <cacheHierarchy uniqueName="[Range].[Region]" caption="Region" attribute="1" defaultMemberUniqueName="[Range].[Region].[All]" allUniqueName="[Range].[Region].[All]" dimensionUniqueName="[Range]" displayFolder="" count="2" memberValueDatatype="130" unbalanced="0">
      <fieldsUsage count="2">
        <fieldUsage x="-1"/>
        <fieldUsage x="0"/>
      </fieldsUsage>
    </cacheHierarchy>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5" unbalanced="0"/>
    <cacheHierarchy uniqueName="[Range].[StoreLocation]" caption="StoreLocation" attribute="1" defaultMemberUniqueName="[Range].[StoreLocation].[All]" allUniqueName="[Range].[StoreLocation].[All]" dimensionUniqueName="[Range]" displayFolder="" count="2" memberValueDatatype="130" unbalanced="0"/>
    <cacheHierarchy uniqueName="[Range].[CustomerType]" caption="CustomerType" attribute="1" defaultMemberUniqueName="[Range].[CustomerType].[All]" allUniqueName="[Range].[CustomerType].[All]" dimensionUniqueName="[Range]" displayFolder="" count="2" memberValueDatatype="130" unbalanced="0"/>
    <cacheHierarchy uniqueName="[Range].[Discount]" caption="Discount" attribute="1" defaultMemberUniqueName="[Range].[Discount].[All]" allUniqueName="[Range].[Discount].[All]" dimensionUniqueName="[Range]" displayFolder="" count="2" memberValueDatatype="5" unbalanced="0"/>
    <cacheHierarchy uniqueName="[Range].[Salesperson]" caption="Salesperson" attribute="1" defaultMemberUniqueName="[Range].[Salesperson].[All]" allUniqueName="[Range].[Salesperson].[All]" dimensionUniqueName="[Range]" displayFolder="" count="2" memberValueDatatype="130" unbalanced="0"/>
    <cacheHierarchy uniqueName="[Range].[TotalPrice]" caption="TotalPrice" attribute="1" defaultMemberUniqueName="[Range].[TotalPrice].[All]" allUniqueName="[Range].[TotalPrice].[All]" dimensionUniqueName="[Range]" displayFolder="" count="2" memberValueDatatype="5"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2"/>
      </fieldsUsage>
    </cacheHierarchy>
    <cacheHierarchy uniqueName="[Range].[Promotion]" caption="Promotion" attribute="1" defaultMemberUniqueName="[Range].[Promotion].[All]" allUniqueName="[Range].[Promotion].[All]" dimensionUniqueName="[Range]" displayFolder="" count="2" memberValueDatatype="130" unbalanced="0"/>
    <cacheHierarchy uniqueName="[Range].[Returned]" caption="Returned" attribute="1" defaultMemberUniqueName="[Range].[Returned].[All]" allUniqueName="[Range].[Returned].[All]" dimensionUniqueName="[Range]" displayFolder="" count="2" memberValueDatatype="20" unbalanced="0"/>
    <cacheHierarchy uniqueName="[Range].[OrderID]" caption="OrderID" attribute="1" defaultMemberUniqueName="[Range].[OrderID].[All]" allUniqueName="[Range].[OrderID].[All]" dimensionUniqueName="[Range]" displayFolder="" count="2" memberValueDatatype="130" unbalanced="0"/>
    <cacheHierarchy uniqueName="[Range].[CustomerName]" caption="CustomerName" attribute="1" defaultMemberUniqueName="[Range].[CustomerName].[All]" allUniqueName="[Range].[CustomerName].[All]" dimensionUniqueName="[Range]" displayFolder="" count="2" memberValueDatatype="130" unbalanced="0"/>
    <cacheHierarchy uniqueName="[Range].[ShippingCost]" caption="ShippingCost" attribute="1" defaultMemberUniqueName="[Range].[ShippingCost].[All]" allUniqueName="[Range].[ShippingCost].[All]" dimensionUniqueName="[Range]" displayFolder="" count="2" memberValueDatatype="5" unbalanced="0"/>
    <cacheHierarchy uniqueName="[Range].[OrderDate]" caption="OrderDate" attribute="1" time="1" defaultMemberUniqueName="[Range].[OrderDate].[All]" allUniqueName="[Range].[OrderDate].[All]" dimensionUniqueName="[Range]" displayFolder="" count="2" memberValueDatatype="7" unbalanced="0"/>
    <cacheHierarchy uniqueName="[Range].[DeliveryDate]" caption="DeliveryDate" attribute="1" time="1" defaultMemberUniqueName="[Range].[DeliveryDate].[All]" allUniqueName="[Range].[DeliveryDate].[All]" dimensionUniqueName="[Range]" displayFolder="" count="2" memberValueDatatype="7" unbalanced="0"/>
    <cacheHierarchy uniqueName="[Range].[RegionManager]" caption="RegionManager" attribute="1" defaultMemberUniqueName="[Range].[RegionManager].[All]" allUniqueName="[Range].[RegionManager].[All]" dimensionUniqueName="[Range]" displayFolder="" count="2" memberValueDatatype="130"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Range].[DeliveryDate (Year)]" caption="DeliveryDate (Year)" attribute="1" defaultMemberUniqueName="[Range].[DeliveryDate (Year)].[All]" allUniqueName="[Range].[DeliveryDate (Year)].[All]" dimensionUniqueName="[Range]" displayFolder="" count="2" memberValueDatatype="130" unbalanced="0"/>
    <cacheHierarchy uniqueName="[Range].[DeliveryDate (Quarter)]" caption="DeliveryDate (Quarter)" attribute="1" defaultMemberUniqueName="[Range].[DeliveryDate (Quarter)].[All]" allUniqueName="[Range].[DeliveryDate (Quarter)].[All]" dimensionUniqueName="[Range]" displayFolder="" count="2" memberValueDatatype="130" unbalanced="0"/>
    <cacheHierarchy uniqueName="[Range].[DeliveryDate (Month)]" caption="DeliveryDate (Month)" attribute="1" defaultMemberUniqueName="[Range].[DeliveryDate (Month)].[All]" allUniqueName="[Range].[Delivery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Range].[DeliveryDate (Month Index)]" caption="DeliveryDate (Month Index)" attribute="1" defaultMemberUniqueName="[Range].[DeliveryDate (Month Index)].[All]" allUniqueName="[Range].[Delivery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3"/>
        </ext>
      </extLst>
    </cacheHierarchy>
    <cacheHierarchy uniqueName="[Measures].[Sum of ShippingCost]" caption="Sum of ShippingCost" measure="1" displayFolder="" measureGroup="Range" count="0" hidden="1">
      <extLst>
        <ext xmlns:x15="http://schemas.microsoft.com/office/spreadsheetml/2010/11/main" uri="{B97F6D7D-B522-45F9-BDA1-12C45D357490}">
          <x15:cacheHierarchy aggregatedColumn="15"/>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4"/>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9"/>
        </ext>
      </extLst>
    </cacheHierarchy>
    <cacheHierarchy uniqueName="[Measures].[Count of CustomerType]" caption="Count of CustomerType"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Sum of Returned]" caption="Sum of Returned"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bhi Yuvgavkar" refreshedDate="46300.744785069444" backgroundQuery="1" createdVersion="8" refreshedVersion="8" minRefreshableVersion="3" recordCount="0" supportSubquery="1" supportAdvancedDrill="1" xr:uid="{F29656E3-2050-4FCB-B0F7-9FADB8A2AD04}">
  <cacheSource type="external" connectionId="1"/>
  <cacheFields count="2">
    <cacheField name="[Measures].[Sum of ShippingCost]" caption="Sum of ShippingCost" numFmtId="0" hierarchy="32" level="32767"/>
    <cacheField name="[Range].[PaymentMethod].[PaymentMethod]" caption="PaymentMethod" numFmtId="0" hierarchy="10" level="1">
      <sharedItems containsSemiMixedTypes="0" containsNonDate="0" containsString="0"/>
    </cacheField>
  </cacheFields>
  <cacheHierarchies count="38">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1"/>
      </fieldsUsage>
    </cacheHierarchy>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eliveryDate (Year)]" caption="DeliveryDate (Year)" attribute="1" defaultMemberUniqueName="[Range].[DeliveryDate (Year)].[All]" allUniqueName="[Range].[DeliveryDate (Year)].[All]" dimensionUniqueName="[Range]" displayFolder="" count="0" memberValueDatatype="130" unbalanced="0"/>
    <cacheHierarchy uniqueName="[Range].[DeliveryDate (Quarter)]" caption="DeliveryDate (Quarter)" attribute="1" defaultMemberUniqueName="[Range].[DeliveryDate (Quarter)].[All]" allUniqueName="[Range].[DeliveryDate (Quarter)].[All]" dimensionUniqueName="[Range]" displayFolder="" count="0" memberValueDatatype="130" unbalanced="0"/>
    <cacheHierarchy uniqueName="[Range].[DeliveryDate (Month)]" caption="DeliveryDate (Month)" attribute="1" defaultMemberUniqueName="[Range].[DeliveryDate (Month)].[All]" allUniqueName="[Range].[Delivery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DeliveryDate (Month Index)]" caption="DeliveryDate (Month Index)" attribute="1" defaultMemberUniqueName="[Range].[DeliveryDate (Month Index)].[All]" allUniqueName="[Range].[Delivery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3"/>
        </ext>
      </extLst>
    </cacheHierarchy>
    <cacheHierarchy uniqueName="[Measures].[Sum of ShippingCost]" caption="Sum of ShippingCost" measure="1" displayFolder="" measureGroup="Range"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4"/>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9"/>
        </ext>
      </extLst>
    </cacheHierarchy>
    <cacheHierarchy uniqueName="[Measures].[Count of CustomerType]" caption="Count of CustomerType"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Sum of Returned]" caption="Sum of Returned"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bhi Yuvgavkar" refreshedDate="46300.744785532406" backgroundQuery="1" createdVersion="8" refreshedVersion="8" minRefreshableVersion="3" recordCount="0" supportSubquery="1" supportAdvancedDrill="1" xr:uid="{AE3B7419-79E7-43CB-B6A4-4EAE2FFF2E26}">
  <cacheSource type="external" connectionId="1"/>
  <cacheFields count="3">
    <cacheField name="[Range].[Product].[Product]" caption="Product" numFmtId="0" hierarchy="2" level="1">
      <sharedItems count="7">
        <s v="Chair"/>
        <s v="Desk"/>
        <s v="Laptop"/>
        <s v="Monitor"/>
        <s v="Phone"/>
        <s v="Printer"/>
        <s v="Tablet"/>
      </sharedItems>
    </cacheField>
    <cacheField name="[Measures].[Sum of Quantity]" caption="Sum of Quantity" numFmtId="0" hierarchy="30" level="32767"/>
    <cacheField name="[Range].[PaymentMethod].[PaymentMethod]" caption="PaymentMethod" numFmtId="0" hierarchy="10" level="1">
      <sharedItems containsSemiMixedTypes="0" containsNonDate="0" containsString="0"/>
    </cacheField>
  </cacheFields>
  <cacheHierarchies count="38">
    <cacheHierarchy uniqueName="[Range].[Date]" caption="Date" attribute="1" time="1" defaultMemberUniqueName="[Range].[Date].[All]" allUniqueName="[Range].[Date].[All]" dimensionUniqueName="[Range]" displayFolder="" count="2"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5" unbalanced="0"/>
    <cacheHierarchy uniqueName="[Range].[StoreLocation]" caption="StoreLocation" attribute="1" defaultMemberUniqueName="[Range].[StoreLocation].[All]" allUniqueName="[Range].[StoreLocation].[All]" dimensionUniqueName="[Range]" displayFolder="" count="2" memberValueDatatype="130" unbalanced="0"/>
    <cacheHierarchy uniqueName="[Range].[CustomerType]" caption="CustomerType" attribute="1" defaultMemberUniqueName="[Range].[CustomerType].[All]" allUniqueName="[Range].[CustomerType].[All]" dimensionUniqueName="[Range]" displayFolder="" count="2" memberValueDatatype="130" unbalanced="0"/>
    <cacheHierarchy uniqueName="[Range].[Discount]" caption="Discount" attribute="1" defaultMemberUniqueName="[Range].[Discount].[All]" allUniqueName="[Range].[Discount].[All]" dimensionUniqueName="[Range]" displayFolder="" count="2" memberValueDatatype="5" unbalanced="0"/>
    <cacheHierarchy uniqueName="[Range].[Salesperson]" caption="Salesperson" attribute="1" defaultMemberUniqueName="[Range].[Salesperson].[All]" allUniqueName="[Range].[Salesperson].[All]" dimensionUniqueName="[Range]" displayFolder="" count="2" memberValueDatatype="130" unbalanced="0"/>
    <cacheHierarchy uniqueName="[Range].[TotalPrice]" caption="TotalPrice" attribute="1" defaultMemberUniqueName="[Range].[TotalPrice].[All]" allUniqueName="[Range].[TotalPrice].[All]" dimensionUniqueName="[Range]" displayFolder="" count="2" memberValueDatatype="5"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2"/>
      </fieldsUsage>
    </cacheHierarchy>
    <cacheHierarchy uniqueName="[Range].[Promotion]" caption="Promotion" attribute="1" defaultMemberUniqueName="[Range].[Promotion].[All]" allUniqueName="[Range].[Promotion].[All]" dimensionUniqueName="[Range]" displayFolder="" count="2" memberValueDatatype="130" unbalanced="0"/>
    <cacheHierarchy uniqueName="[Range].[Returned]" caption="Returned" attribute="1" defaultMemberUniqueName="[Range].[Returned].[All]" allUniqueName="[Range].[Returned].[All]" dimensionUniqueName="[Range]" displayFolder="" count="2" memberValueDatatype="20" unbalanced="0"/>
    <cacheHierarchy uniqueName="[Range].[OrderID]" caption="OrderID" attribute="1" defaultMemberUniqueName="[Range].[OrderID].[All]" allUniqueName="[Range].[OrderID].[All]" dimensionUniqueName="[Range]" displayFolder="" count="2" memberValueDatatype="130" unbalanced="0"/>
    <cacheHierarchy uniqueName="[Range].[CustomerName]" caption="CustomerName" attribute="1" defaultMemberUniqueName="[Range].[CustomerName].[All]" allUniqueName="[Range].[CustomerName].[All]" dimensionUniqueName="[Range]" displayFolder="" count="2" memberValueDatatype="130" unbalanced="0"/>
    <cacheHierarchy uniqueName="[Range].[ShippingCost]" caption="ShippingCost" attribute="1" defaultMemberUniqueName="[Range].[ShippingCost].[All]" allUniqueName="[Range].[ShippingCost].[All]" dimensionUniqueName="[Range]" displayFolder="" count="2" memberValueDatatype="5" unbalanced="0"/>
    <cacheHierarchy uniqueName="[Range].[OrderDate]" caption="OrderDate" attribute="1" time="1" defaultMemberUniqueName="[Range].[OrderDate].[All]" allUniqueName="[Range].[OrderDate].[All]" dimensionUniqueName="[Range]" displayFolder="" count="2" memberValueDatatype="7" unbalanced="0"/>
    <cacheHierarchy uniqueName="[Range].[DeliveryDate]" caption="DeliveryDate" attribute="1" time="1" defaultMemberUniqueName="[Range].[DeliveryDate].[All]" allUniqueName="[Range].[DeliveryDate].[All]" dimensionUniqueName="[Range]" displayFolder="" count="2" memberValueDatatype="7" unbalanced="0"/>
    <cacheHierarchy uniqueName="[Range].[RegionManager]" caption="RegionManager" attribute="1" defaultMemberUniqueName="[Range].[RegionManager].[All]" allUniqueName="[Range].[RegionManager].[All]" dimensionUniqueName="[Range]" displayFolder="" count="2" memberValueDatatype="130"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Range].[DeliveryDate (Year)]" caption="DeliveryDate (Year)" attribute="1" defaultMemberUniqueName="[Range].[DeliveryDate (Year)].[All]" allUniqueName="[Range].[DeliveryDate (Year)].[All]" dimensionUniqueName="[Range]" displayFolder="" count="2" memberValueDatatype="130" unbalanced="0"/>
    <cacheHierarchy uniqueName="[Range].[DeliveryDate (Quarter)]" caption="DeliveryDate (Quarter)" attribute="1" defaultMemberUniqueName="[Range].[DeliveryDate (Quarter)].[All]" allUniqueName="[Range].[DeliveryDate (Quarter)].[All]" dimensionUniqueName="[Range]" displayFolder="" count="2" memberValueDatatype="130" unbalanced="0"/>
    <cacheHierarchy uniqueName="[Range].[DeliveryDate (Month)]" caption="DeliveryDate (Month)" attribute="1" defaultMemberUniqueName="[Range].[DeliveryDate (Month)].[All]" allUniqueName="[Range].[Delivery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Range].[DeliveryDate (Month Index)]" caption="DeliveryDate (Month Index)" attribute="1" defaultMemberUniqueName="[Range].[DeliveryDate (Month Index)].[All]" allUniqueName="[Range].[Delivery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3"/>
        </ext>
      </extLst>
    </cacheHierarchy>
    <cacheHierarchy uniqueName="[Measures].[Sum of ShippingCost]" caption="Sum of ShippingCost" measure="1" displayFolder="" measureGroup="Range" count="0" hidden="1">
      <extLst>
        <ext xmlns:x15="http://schemas.microsoft.com/office/spreadsheetml/2010/11/main" uri="{B97F6D7D-B522-45F9-BDA1-12C45D357490}">
          <x15:cacheHierarchy aggregatedColumn="15"/>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4"/>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9"/>
        </ext>
      </extLst>
    </cacheHierarchy>
    <cacheHierarchy uniqueName="[Measures].[Count of CustomerType]" caption="Count of CustomerType"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Sum of Returned]" caption="Sum of Returned"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bhi Yuvgavkar" refreshedDate="46300.744785648145" backgroundQuery="1" createdVersion="8" refreshedVersion="8" minRefreshableVersion="3" recordCount="0" supportSubquery="1" supportAdvancedDrill="1" xr:uid="{436BA284-C214-4F25-BB66-9C07E5C48B29}">
  <cacheSource type="external" connectionId="1"/>
  <cacheFields count="2">
    <cacheField name="[Measures].[Sum of UnitPrice]" caption="Sum of UnitPrice" numFmtId="0" hierarchy="33" level="32767"/>
    <cacheField name="[Range].[PaymentMethod].[PaymentMethod]" caption="PaymentMethod" numFmtId="0" hierarchy="10" level="1">
      <sharedItems containsSemiMixedTypes="0" containsNonDate="0" containsString="0"/>
    </cacheField>
  </cacheFields>
  <cacheHierarchies count="38">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1"/>
      </fieldsUsage>
    </cacheHierarchy>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eliveryDate (Year)]" caption="DeliveryDate (Year)" attribute="1" defaultMemberUniqueName="[Range].[DeliveryDate (Year)].[All]" allUniqueName="[Range].[DeliveryDate (Year)].[All]" dimensionUniqueName="[Range]" displayFolder="" count="0" memberValueDatatype="130" unbalanced="0"/>
    <cacheHierarchy uniqueName="[Range].[DeliveryDate (Quarter)]" caption="DeliveryDate (Quarter)" attribute="1" defaultMemberUniqueName="[Range].[DeliveryDate (Quarter)].[All]" allUniqueName="[Range].[DeliveryDate (Quarter)].[All]" dimensionUniqueName="[Range]" displayFolder="" count="0" memberValueDatatype="130" unbalanced="0"/>
    <cacheHierarchy uniqueName="[Range].[DeliveryDate (Month)]" caption="DeliveryDate (Month)" attribute="1" defaultMemberUniqueName="[Range].[DeliveryDate (Month)].[All]" allUniqueName="[Range].[Delivery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DeliveryDate (Month Index)]" caption="DeliveryDate (Month Index)" attribute="1" defaultMemberUniqueName="[Range].[DeliveryDate (Month Index)].[All]" allUniqueName="[Range].[Delivery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3"/>
        </ext>
      </extLst>
    </cacheHierarchy>
    <cacheHierarchy uniqueName="[Measures].[Sum of ShippingCost]" caption="Sum of ShippingCost" measure="1" displayFolder="" measureGroup="Range" count="0" hidden="1">
      <extLst>
        <ext xmlns:x15="http://schemas.microsoft.com/office/spreadsheetml/2010/11/main" uri="{B97F6D7D-B522-45F9-BDA1-12C45D357490}">
          <x15:cacheHierarchy aggregatedColumn="15"/>
        </ext>
      </extLst>
    </cacheHierarchy>
    <cacheHierarchy uniqueName="[Measures].[Sum of UnitPrice]" caption="Sum of UnitPrice"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9"/>
        </ext>
      </extLst>
    </cacheHierarchy>
    <cacheHierarchy uniqueName="[Measures].[Count of CustomerType]" caption="Count of CustomerType"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Sum of Returned]" caption="Sum of Returned"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bhi Yuvgavkar" refreshedDate="46300.744785995368" backgroundQuery="1" createdVersion="8" refreshedVersion="8" minRefreshableVersion="3" recordCount="0" supportSubquery="1" supportAdvancedDrill="1" xr:uid="{26231B8A-B6A3-47A7-A4E5-4E11A799D23B}">
  <cacheSource type="external" connectionId="1"/>
  <cacheFields count="3">
    <cacheField name="[Range].[Salesperson].[Salesperson]" caption="Salesperson" numFmtId="0" hierarchy="8" level="1">
      <sharedItems count="6">
        <s v="Alice"/>
        <s v="Bob"/>
        <s v="Carlos"/>
        <s v="Diana"/>
        <s v="Eva"/>
        <s v="Frank"/>
      </sharedItems>
    </cacheField>
    <cacheField name="[Measures].[Sum of TotalPrice]" caption="Sum of TotalPrice" numFmtId="0" hierarchy="34" level="32767"/>
    <cacheField name="[Range].[PaymentMethod].[PaymentMethod]" caption="PaymentMethod" numFmtId="0" hierarchy="10" level="1">
      <sharedItems containsSemiMixedTypes="0" containsNonDate="0" containsString="0"/>
    </cacheField>
  </cacheFields>
  <cacheHierarchies count="38">
    <cacheHierarchy uniqueName="[Range].[Date]" caption="Date" attribute="1" time="1" defaultMemberUniqueName="[Range].[Date].[All]" allUniqueName="[Range].[Date].[All]" dimensionUniqueName="[Range]" displayFolder="" count="2"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5" unbalanced="0"/>
    <cacheHierarchy uniqueName="[Range].[StoreLocation]" caption="StoreLocation" attribute="1" defaultMemberUniqueName="[Range].[StoreLocation].[All]" allUniqueName="[Range].[StoreLocation].[All]" dimensionUniqueName="[Range]" displayFolder="" count="2" memberValueDatatype="130" unbalanced="0"/>
    <cacheHierarchy uniqueName="[Range].[CustomerType]" caption="CustomerType" attribute="1" defaultMemberUniqueName="[Range].[CustomerType].[All]" allUniqueName="[Range].[CustomerType].[All]" dimensionUniqueName="[Range]" displayFolder="" count="2" memberValueDatatype="130" unbalanced="0"/>
    <cacheHierarchy uniqueName="[Range].[Discount]" caption="Discount" attribute="1" defaultMemberUniqueName="[Range].[Discount].[All]" allUniqueName="[Range].[Discount].[All]" dimensionUniqueName="[Range]" displayFolder="" count="2" memberValueDatatype="5"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0"/>
      </fieldsUsage>
    </cacheHierarchy>
    <cacheHierarchy uniqueName="[Range].[TotalPrice]" caption="TotalPrice" attribute="1" defaultMemberUniqueName="[Range].[TotalPrice].[All]" allUniqueName="[Range].[TotalPrice].[All]" dimensionUniqueName="[Range]" displayFolder="" count="2" memberValueDatatype="5"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2"/>
      </fieldsUsage>
    </cacheHierarchy>
    <cacheHierarchy uniqueName="[Range].[Promotion]" caption="Promotion" attribute="1" defaultMemberUniqueName="[Range].[Promotion].[All]" allUniqueName="[Range].[Promotion].[All]" dimensionUniqueName="[Range]" displayFolder="" count="2" memberValueDatatype="130" unbalanced="0"/>
    <cacheHierarchy uniqueName="[Range].[Returned]" caption="Returned" attribute="1" defaultMemberUniqueName="[Range].[Returned].[All]" allUniqueName="[Range].[Returned].[All]" dimensionUniqueName="[Range]" displayFolder="" count="2" memberValueDatatype="20" unbalanced="0"/>
    <cacheHierarchy uniqueName="[Range].[OrderID]" caption="OrderID" attribute="1" defaultMemberUniqueName="[Range].[OrderID].[All]" allUniqueName="[Range].[OrderID].[All]" dimensionUniqueName="[Range]" displayFolder="" count="2" memberValueDatatype="130" unbalanced="0"/>
    <cacheHierarchy uniqueName="[Range].[CustomerName]" caption="CustomerName" attribute="1" defaultMemberUniqueName="[Range].[CustomerName].[All]" allUniqueName="[Range].[CustomerName].[All]" dimensionUniqueName="[Range]" displayFolder="" count="2" memberValueDatatype="130" unbalanced="0"/>
    <cacheHierarchy uniqueName="[Range].[ShippingCost]" caption="ShippingCost" attribute="1" defaultMemberUniqueName="[Range].[ShippingCost].[All]" allUniqueName="[Range].[ShippingCost].[All]" dimensionUniqueName="[Range]" displayFolder="" count="2" memberValueDatatype="5" unbalanced="0"/>
    <cacheHierarchy uniqueName="[Range].[OrderDate]" caption="OrderDate" attribute="1" time="1" defaultMemberUniqueName="[Range].[OrderDate].[All]" allUniqueName="[Range].[OrderDate].[All]" dimensionUniqueName="[Range]" displayFolder="" count="2" memberValueDatatype="7" unbalanced="0"/>
    <cacheHierarchy uniqueName="[Range].[DeliveryDate]" caption="DeliveryDate" attribute="1" time="1" defaultMemberUniqueName="[Range].[DeliveryDate].[All]" allUniqueName="[Range].[DeliveryDate].[All]" dimensionUniqueName="[Range]" displayFolder="" count="2" memberValueDatatype="7" unbalanced="0"/>
    <cacheHierarchy uniqueName="[Range].[RegionManager]" caption="RegionManager" attribute="1" defaultMemberUniqueName="[Range].[RegionManager].[All]" allUniqueName="[Range].[RegionManager].[All]" dimensionUniqueName="[Range]" displayFolder="" count="2" memberValueDatatype="130"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Range].[DeliveryDate (Year)]" caption="DeliveryDate (Year)" attribute="1" defaultMemberUniqueName="[Range].[DeliveryDate (Year)].[All]" allUniqueName="[Range].[DeliveryDate (Year)].[All]" dimensionUniqueName="[Range]" displayFolder="" count="2" memberValueDatatype="130" unbalanced="0"/>
    <cacheHierarchy uniqueName="[Range].[DeliveryDate (Quarter)]" caption="DeliveryDate (Quarter)" attribute="1" defaultMemberUniqueName="[Range].[DeliveryDate (Quarter)].[All]" allUniqueName="[Range].[DeliveryDate (Quarter)].[All]" dimensionUniqueName="[Range]" displayFolder="" count="2" memberValueDatatype="130" unbalanced="0"/>
    <cacheHierarchy uniqueName="[Range].[DeliveryDate (Month)]" caption="DeliveryDate (Month)" attribute="1" defaultMemberUniqueName="[Range].[DeliveryDate (Month)].[All]" allUniqueName="[Range].[Delivery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Range].[DeliveryDate (Month Index)]" caption="DeliveryDate (Month Index)" attribute="1" defaultMemberUniqueName="[Range].[DeliveryDate (Month Index)].[All]" allUniqueName="[Range].[Delivery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3"/>
        </ext>
      </extLst>
    </cacheHierarchy>
    <cacheHierarchy uniqueName="[Measures].[Sum of ShippingCost]" caption="Sum of ShippingCost" measure="1" displayFolder="" measureGroup="Range" count="0" hidden="1">
      <extLst>
        <ext xmlns:x15="http://schemas.microsoft.com/office/spreadsheetml/2010/11/main" uri="{B97F6D7D-B522-45F9-BDA1-12C45D357490}">
          <x15:cacheHierarchy aggregatedColumn="15"/>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4"/>
        </ext>
      </extLst>
    </cacheHierarchy>
    <cacheHierarchy uniqueName="[Measures].[Sum of TotalPrice]" caption="Sum of TotalPrice"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CustomerType]" caption="Count of CustomerType"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Sum of Returned]" caption="Sum of Returned"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bhi Yuvgavkar" refreshedDate="46300.744786342591" backgroundQuery="1" createdVersion="8" refreshedVersion="8" minRefreshableVersion="3" recordCount="0" supportSubquery="1" supportAdvancedDrill="1" xr:uid="{3A9C4163-B015-484D-A648-FF1E9178AD16}">
  <cacheSource type="external" connectionId="1"/>
  <cacheFields count="4">
    <cacheField name="[Range].[Salesperson].[Salesperson]" caption="Salesperson" numFmtId="0" hierarchy="8" level="1">
      <sharedItems count="6">
        <s v="Alice"/>
        <s v="Bob"/>
        <s v="Carlos"/>
        <s v="Diana"/>
        <s v="Eva"/>
        <s v="Frank"/>
      </sharedItems>
    </cacheField>
    <cacheField name="[Range].[CustomerType].[CustomerType]" caption="CustomerType" numFmtId="0" hierarchy="6" level="1">
      <sharedItems count="2">
        <s v="Retail"/>
        <s v="Wholesale"/>
      </sharedItems>
    </cacheField>
    <cacheField name="[Measures].[Sum of Discount]" caption="Sum of Discount" numFmtId="0" hierarchy="36" level="32767"/>
    <cacheField name="[Range].[PaymentMethod].[PaymentMethod]" caption="PaymentMethod" numFmtId="0" hierarchy="10" level="1">
      <sharedItems containsSemiMixedTypes="0" containsNonDate="0" containsString="0"/>
    </cacheField>
  </cacheFields>
  <cacheHierarchies count="38">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2" memberValueDatatype="130" unbalanced="0">
      <fieldsUsage count="2">
        <fieldUsage x="-1"/>
        <fieldUsage x="1"/>
      </fieldsUsage>
    </cacheHierarchy>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2" memberValueDatatype="130" unbalanced="0">
      <fieldsUsage count="2">
        <fieldUsage x="-1"/>
        <fieldUsage x="0"/>
      </fieldsUsage>
    </cacheHierarchy>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3"/>
      </fieldsUsage>
    </cacheHierarchy>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eliveryDate (Year)]" caption="DeliveryDate (Year)" attribute="1" defaultMemberUniqueName="[Range].[DeliveryDate (Year)].[All]" allUniqueName="[Range].[DeliveryDate (Year)].[All]" dimensionUniqueName="[Range]" displayFolder="" count="0" memberValueDatatype="130" unbalanced="0"/>
    <cacheHierarchy uniqueName="[Range].[DeliveryDate (Quarter)]" caption="DeliveryDate (Quarter)" attribute="1" defaultMemberUniqueName="[Range].[DeliveryDate (Quarter)].[All]" allUniqueName="[Range].[DeliveryDate (Quarter)].[All]" dimensionUniqueName="[Range]" displayFolder="" count="0" memberValueDatatype="130" unbalanced="0"/>
    <cacheHierarchy uniqueName="[Range].[DeliveryDate (Month)]" caption="DeliveryDate (Month)" attribute="1" defaultMemberUniqueName="[Range].[DeliveryDate (Month)].[All]" allUniqueName="[Range].[Delivery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DeliveryDate (Month Index)]" caption="DeliveryDate (Month Index)" attribute="1" defaultMemberUniqueName="[Range].[DeliveryDate (Month Index)].[All]" allUniqueName="[Range].[Delivery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3"/>
        </ext>
      </extLst>
    </cacheHierarchy>
    <cacheHierarchy uniqueName="[Measures].[Sum of ShippingCost]" caption="Sum of ShippingCost" measure="1" displayFolder="" measureGroup="Range" count="0" hidden="1">
      <extLst>
        <ext xmlns:x15="http://schemas.microsoft.com/office/spreadsheetml/2010/11/main" uri="{B97F6D7D-B522-45F9-BDA1-12C45D357490}">
          <x15:cacheHierarchy aggregatedColumn="15"/>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4"/>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9"/>
        </ext>
      </extLst>
    </cacheHierarchy>
    <cacheHierarchy uniqueName="[Measures].[Count of CustomerType]" caption="Count of CustomerType"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Returned]" caption="Sum of Returned"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bhi Yuvgavkar" refreshedDate="46300.744786921299" backgroundQuery="1" createdVersion="8" refreshedVersion="8" minRefreshableVersion="3" recordCount="0" supportSubquery="1" supportAdvancedDrill="1" xr:uid="{6E60F411-BC28-47C6-8D96-241038CC5D6F}">
  <cacheSource type="external" connectionId="1"/>
  <cacheFields count="2">
    <cacheField name="[Range].[PaymentMethod].[PaymentMethod]" caption="PaymentMethod" numFmtId="0" hierarchy="10" level="1">
      <sharedItems count="5">
        <s v="Cash"/>
        <s v="Credit Card"/>
        <s v="Debit Card"/>
        <s v="Gift Card"/>
        <s v="Online"/>
      </sharedItems>
    </cacheField>
    <cacheField name="[Measures].[Sum of ShippingCost]" caption="Sum of ShippingCost" numFmtId="0" hierarchy="32" level="32767"/>
  </cacheFields>
  <cacheHierarchies count="38">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0"/>
      </fieldsUsage>
    </cacheHierarchy>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eliveryDate (Year)]" caption="DeliveryDate (Year)" attribute="1" defaultMemberUniqueName="[Range].[DeliveryDate (Year)].[All]" allUniqueName="[Range].[DeliveryDate (Year)].[All]" dimensionUniqueName="[Range]" displayFolder="" count="0" memberValueDatatype="130" unbalanced="0"/>
    <cacheHierarchy uniqueName="[Range].[DeliveryDate (Quarter)]" caption="DeliveryDate (Quarter)" attribute="1" defaultMemberUniqueName="[Range].[DeliveryDate (Quarter)].[All]" allUniqueName="[Range].[DeliveryDate (Quarter)].[All]" dimensionUniqueName="[Range]" displayFolder="" count="0" memberValueDatatype="130" unbalanced="0"/>
    <cacheHierarchy uniqueName="[Range].[DeliveryDate (Month)]" caption="DeliveryDate (Month)" attribute="1" defaultMemberUniqueName="[Range].[DeliveryDate (Month)].[All]" allUniqueName="[Range].[Delivery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DeliveryDate (Month Index)]" caption="DeliveryDate (Month Index)" attribute="1" defaultMemberUniqueName="[Range].[DeliveryDate (Month Index)].[All]" allUniqueName="[Range].[Delivery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3"/>
        </ext>
      </extLst>
    </cacheHierarchy>
    <cacheHierarchy uniqueName="[Measures].[Sum of ShippingCost]" caption="Sum of ShippingCost" measure="1" displayFolder="" measureGroup="Range"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4"/>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9"/>
        </ext>
      </extLst>
    </cacheHierarchy>
    <cacheHierarchy uniqueName="[Measures].[Count of CustomerType]" caption="Count of CustomerType"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Sum of Returned]" caption="Sum of Returned"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bhi Yuvgavkar" refreshedDate="46300.744787268515" backgroundQuery="1" createdVersion="8" refreshedVersion="8" minRefreshableVersion="3" recordCount="0" supportSubquery="1" supportAdvancedDrill="1" xr:uid="{47074C0E-F924-4FF6-B521-0A4F95B7C019}">
  <cacheSource type="external" connectionId="1"/>
  <cacheFields count="4">
    <cacheField name="[Range].[Date (Year)].[Date (Year)]" caption="Date (Year)" numFmtId="0" hierarchy="19" level="1">
      <sharedItems count="3">
        <s v="2023"/>
        <s v="2024"/>
        <s v="2025"/>
      </sharedItems>
    </cacheField>
    <cacheField name="[Range].[CustomerType].[CustomerType]" caption="CustomerType" numFmtId="0" hierarchy="6" level="1">
      <sharedItems count="2">
        <s v="Retail"/>
        <s v="Wholesale"/>
      </sharedItems>
    </cacheField>
    <cacheField name="[Measures].[Sum of Discount]" caption="Sum of Discount" numFmtId="0" hierarchy="36" level="32767"/>
    <cacheField name="[Range].[PaymentMethod].[PaymentMethod]" caption="PaymentMethod" numFmtId="0" hierarchy="10" level="1">
      <sharedItems containsSemiMixedTypes="0" containsNonDate="0" containsString="0"/>
    </cacheField>
  </cacheFields>
  <cacheHierarchies count="38">
    <cacheHierarchy uniqueName="[Range].[Date]" caption="Date" attribute="1" time="1" defaultMemberUniqueName="[Range].[Date].[All]" allUniqueName="[Range].[Date].[All]" dimensionUniqueName="[Range]" displayFolder="" count="2"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Price]" caption="UnitPrice" attribute="1" defaultMemberUniqueName="[Range].[UnitPrice].[All]" allUniqueName="[Range].[UnitPrice].[All]" dimensionUniqueName="[Range]" displayFolder="" count="2" memberValueDatatype="5" unbalanced="0"/>
    <cacheHierarchy uniqueName="[Range].[StoreLocation]" caption="StoreLocation" attribute="1" defaultMemberUniqueName="[Range].[StoreLocation].[All]" allUniqueName="[Range].[StoreLocation].[All]" dimensionUniqueName="[Range]" displayFolder="" count="2" memberValueDatatype="130" unbalanced="0"/>
    <cacheHierarchy uniqueName="[Range].[CustomerType]" caption="CustomerType" attribute="1" defaultMemberUniqueName="[Range].[CustomerType].[All]" allUniqueName="[Range].[CustomerType].[All]" dimensionUniqueName="[Range]" displayFolder="" count="2" memberValueDatatype="130" unbalanced="0">
      <fieldsUsage count="2">
        <fieldUsage x="-1"/>
        <fieldUsage x="1"/>
      </fieldsUsage>
    </cacheHierarchy>
    <cacheHierarchy uniqueName="[Range].[Discount]" caption="Discount" attribute="1" defaultMemberUniqueName="[Range].[Discount].[All]" allUniqueName="[Range].[Discount].[All]" dimensionUniqueName="[Range]" displayFolder="" count="2" memberValueDatatype="5" unbalanced="0"/>
    <cacheHierarchy uniqueName="[Range].[Salesperson]" caption="Salesperson" attribute="1" defaultMemberUniqueName="[Range].[Salesperson].[All]" allUniqueName="[Range].[Salesperson].[All]" dimensionUniqueName="[Range]" displayFolder="" count="2" memberValueDatatype="130" unbalanced="0"/>
    <cacheHierarchy uniqueName="[Range].[TotalPrice]" caption="TotalPrice" attribute="1" defaultMemberUniqueName="[Range].[TotalPrice].[All]" allUniqueName="[Range].[TotalPrice].[All]" dimensionUniqueName="[Range]" displayFolder="" count="2" memberValueDatatype="5"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3"/>
      </fieldsUsage>
    </cacheHierarchy>
    <cacheHierarchy uniqueName="[Range].[Promotion]" caption="Promotion" attribute="1" defaultMemberUniqueName="[Range].[Promotion].[All]" allUniqueName="[Range].[Promotion].[All]" dimensionUniqueName="[Range]" displayFolder="" count="2" memberValueDatatype="130" unbalanced="0"/>
    <cacheHierarchy uniqueName="[Range].[Returned]" caption="Returned" attribute="1" defaultMemberUniqueName="[Range].[Returned].[All]" allUniqueName="[Range].[Returned].[All]" dimensionUniqueName="[Range]" displayFolder="" count="2" memberValueDatatype="20" unbalanced="0"/>
    <cacheHierarchy uniqueName="[Range].[OrderID]" caption="OrderID" attribute="1" defaultMemberUniqueName="[Range].[OrderID].[All]" allUniqueName="[Range].[OrderID].[All]" dimensionUniqueName="[Range]" displayFolder="" count="2" memberValueDatatype="130" unbalanced="0"/>
    <cacheHierarchy uniqueName="[Range].[CustomerName]" caption="CustomerName" attribute="1" defaultMemberUniqueName="[Range].[CustomerName].[All]" allUniqueName="[Range].[CustomerName].[All]" dimensionUniqueName="[Range]" displayFolder="" count="2" memberValueDatatype="130" unbalanced="0"/>
    <cacheHierarchy uniqueName="[Range].[ShippingCost]" caption="ShippingCost" attribute="1" defaultMemberUniqueName="[Range].[ShippingCost].[All]" allUniqueName="[Range].[ShippingCost].[All]" dimensionUniqueName="[Range]" displayFolder="" count="2" memberValueDatatype="5" unbalanced="0"/>
    <cacheHierarchy uniqueName="[Range].[OrderDate]" caption="OrderDate" attribute="1" time="1" defaultMemberUniqueName="[Range].[OrderDate].[All]" allUniqueName="[Range].[OrderDate].[All]" dimensionUniqueName="[Range]" displayFolder="" count="2" memberValueDatatype="7" unbalanced="0"/>
    <cacheHierarchy uniqueName="[Range].[DeliveryDate]" caption="DeliveryDate" attribute="1" time="1" defaultMemberUniqueName="[Range].[DeliveryDate].[All]" allUniqueName="[Range].[DeliveryDate].[All]" dimensionUniqueName="[Range]" displayFolder="" count="2" memberValueDatatype="7" unbalanced="0"/>
    <cacheHierarchy uniqueName="[Range].[RegionManager]" caption="RegionManager" attribute="1" defaultMemberUniqueName="[Range].[RegionManager].[All]" allUniqueName="[Range].[RegionManager].[All]" dimensionUniqueName="[Range]" displayFolder="" count="2" memberValueDatatype="130" unbalanced="0"/>
    <cacheHierarchy uniqueName="[Range].[Date (Year)]" caption="Date (Year)" attribute="1" defaultMemberUniqueName="[Range].[Date (Year)].[All]" allUniqueName="[Range].[Date (Year)].[All]" dimensionUniqueName="[Range]" displayFolder="" count="2" memberValueDatatype="130" unbalanced="0">
      <fieldsUsage count="2">
        <fieldUsage x="-1"/>
        <fieldUsage x="0"/>
      </fieldsUsage>
    </cacheHierarchy>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cacheHierarchy uniqueName="[Range].[DeliveryDate (Year)]" caption="DeliveryDate (Year)" attribute="1" defaultMemberUniqueName="[Range].[DeliveryDate (Year)].[All]" allUniqueName="[Range].[DeliveryDate (Year)].[All]" dimensionUniqueName="[Range]" displayFolder="" count="2" memberValueDatatype="130" unbalanced="0"/>
    <cacheHierarchy uniqueName="[Range].[DeliveryDate (Quarter)]" caption="DeliveryDate (Quarter)" attribute="1" defaultMemberUniqueName="[Range].[DeliveryDate (Quarter)].[All]" allUniqueName="[Range].[DeliveryDate (Quarter)].[All]" dimensionUniqueName="[Range]" displayFolder="" count="2" memberValueDatatype="130" unbalanced="0"/>
    <cacheHierarchy uniqueName="[Range].[DeliveryDate (Month)]" caption="DeliveryDate (Month)" attribute="1" defaultMemberUniqueName="[Range].[DeliveryDate (Month)].[All]" allUniqueName="[Range].[DeliveryDate (Month)].[All]" dimensionUniqueName="[Range]" displayFolder="" count="2" memberValueDatatype="130"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Range].[DeliveryDate (Month Index)]" caption="DeliveryDate (Month Index)" attribute="1" defaultMemberUniqueName="[Range].[DeliveryDate (Month Index)].[All]" allUniqueName="[Range].[Delivery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3"/>
        </ext>
      </extLst>
    </cacheHierarchy>
    <cacheHierarchy uniqueName="[Measures].[Sum of ShippingCost]" caption="Sum of ShippingCost" measure="1" displayFolder="" measureGroup="Range" count="0" hidden="1">
      <extLst>
        <ext xmlns:x15="http://schemas.microsoft.com/office/spreadsheetml/2010/11/main" uri="{B97F6D7D-B522-45F9-BDA1-12C45D357490}">
          <x15:cacheHierarchy aggregatedColumn="15"/>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4"/>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9"/>
        </ext>
      </extLst>
    </cacheHierarchy>
    <cacheHierarchy uniqueName="[Measures].[Count of CustomerType]" caption="Count of CustomerType"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oneField="1" hidden="1">
      <fieldsUsage count="1">
        <fieldUsage x="2"/>
      </fieldsUsage>
      <extLst>
        <ext xmlns:x15="http://schemas.microsoft.com/office/spreadsheetml/2010/11/main" uri="{B97F6D7D-B522-45F9-BDA1-12C45D357490}">
          <x15:cacheHierarchy aggregatedColumn="7"/>
        </ext>
      </extLst>
    </cacheHierarchy>
    <cacheHierarchy uniqueName="[Measures].[Sum of Returned]" caption="Sum of Returned"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bhi Yuvgavkar" refreshedDate="46300.7447875" backgroundQuery="1" createdVersion="8" refreshedVersion="8" minRefreshableVersion="3" recordCount="0" supportSubquery="1" supportAdvancedDrill="1" xr:uid="{328A8EAC-21A5-4678-9F1D-343E8163540B}">
  <cacheSource type="external" connectionId="1"/>
  <cacheFields count="2">
    <cacheField name="[Measures].[Sum of Quantity]" caption="Sum of Quantity" numFmtId="0" hierarchy="30" level="32767"/>
    <cacheField name="[Range].[PaymentMethod].[PaymentMethod]" caption="PaymentMethod" numFmtId="0" hierarchy="10" level="1">
      <sharedItems containsSemiMixedTypes="0" containsNonDate="0" containsString="0"/>
    </cacheField>
  </cacheFields>
  <cacheHierarchies count="38">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1"/>
      </fieldsUsage>
    </cacheHierarchy>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eliveryDate (Year)]" caption="DeliveryDate (Year)" attribute="1" defaultMemberUniqueName="[Range].[DeliveryDate (Year)].[All]" allUniqueName="[Range].[DeliveryDate (Year)].[All]" dimensionUniqueName="[Range]" displayFolder="" count="0" memberValueDatatype="130" unbalanced="0"/>
    <cacheHierarchy uniqueName="[Range].[DeliveryDate (Quarter)]" caption="DeliveryDate (Quarter)" attribute="1" defaultMemberUniqueName="[Range].[DeliveryDate (Quarter)].[All]" allUniqueName="[Range].[DeliveryDate (Quarter)].[All]" dimensionUniqueName="[Range]" displayFolder="" count="0" memberValueDatatype="130" unbalanced="0"/>
    <cacheHierarchy uniqueName="[Range].[DeliveryDate (Month)]" caption="DeliveryDate (Month)" attribute="1" defaultMemberUniqueName="[Range].[DeliveryDate (Month)].[All]" allUniqueName="[Range].[Delivery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DeliveryDate (Month Index)]" caption="DeliveryDate (Month Index)" attribute="1" defaultMemberUniqueName="[Range].[DeliveryDate (Month Index)].[All]" allUniqueName="[Range].[Delivery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3"/>
        </ext>
      </extLst>
    </cacheHierarchy>
    <cacheHierarchy uniqueName="[Measures].[Sum of ShippingCost]" caption="Sum of ShippingCost" measure="1" displayFolder="" measureGroup="Range" count="0" hidden="1">
      <extLst>
        <ext xmlns:x15="http://schemas.microsoft.com/office/spreadsheetml/2010/11/main" uri="{B97F6D7D-B522-45F9-BDA1-12C45D357490}">
          <x15:cacheHierarchy aggregatedColumn="15"/>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4"/>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9"/>
        </ext>
      </extLst>
    </cacheHierarchy>
    <cacheHierarchy uniqueName="[Measures].[Count of CustomerType]" caption="Count of CustomerType"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Sum of Returned]" caption="Sum of Returned"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bhi Yuvgavkar" refreshedDate="46300.744787731484" backgroundQuery="1" createdVersion="8" refreshedVersion="8" minRefreshableVersion="3" recordCount="0" supportSubquery="1" supportAdvancedDrill="1" xr:uid="{43BF912B-8AAD-4255-A052-756FCF13491A}">
  <cacheSource type="external" connectionId="1"/>
  <cacheFields count="2">
    <cacheField name="[Measures].[Sum of TotalPrice]" caption="Sum of TotalPrice" numFmtId="0" hierarchy="34" level="32767"/>
    <cacheField name="[Range].[PaymentMethod].[PaymentMethod]" caption="PaymentMethod" numFmtId="0" hierarchy="10" level="1">
      <sharedItems containsSemiMixedTypes="0" containsNonDate="0" containsString="0"/>
    </cacheField>
  </cacheFields>
  <cacheHierarchies count="38">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2"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2" memberValueDatatype="130" unbalanced="0">
      <fieldsUsage count="2">
        <fieldUsage x="-1"/>
        <fieldUsage x="1"/>
      </fieldsUsage>
    </cacheHierarchy>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eliveryDate (Year)]" caption="DeliveryDate (Year)" attribute="1" defaultMemberUniqueName="[Range].[DeliveryDate (Year)].[All]" allUniqueName="[Range].[DeliveryDate (Year)].[All]" dimensionUniqueName="[Range]" displayFolder="" count="0" memberValueDatatype="130" unbalanced="0"/>
    <cacheHierarchy uniqueName="[Range].[DeliveryDate (Quarter)]" caption="DeliveryDate (Quarter)" attribute="1" defaultMemberUniqueName="[Range].[DeliveryDate (Quarter)].[All]" allUniqueName="[Range].[DeliveryDate (Quarter)].[All]" dimensionUniqueName="[Range]" displayFolder="" count="0" memberValueDatatype="130" unbalanced="0"/>
    <cacheHierarchy uniqueName="[Range].[DeliveryDate (Month)]" caption="DeliveryDate (Month)" attribute="1" defaultMemberUniqueName="[Range].[DeliveryDate (Month)].[All]" allUniqueName="[Range].[Delivery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DeliveryDate (Month Index)]" caption="DeliveryDate (Month Index)" attribute="1" defaultMemberUniqueName="[Range].[DeliveryDate (Month Index)].[All]" allUniqueName="[Range].[Delivery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3"/>
        </ext>
      </extLst>
    </cacheHierarchy>
    <cacheHierarchy uniqueName="[Measures].[Sum of ShippingCost]" caption="Sum of ShippingCost" measure="1" displayFolder="" measureGroup="Range" count="0" hidden="1">
      <extLst>
        <ext xmlns:x15="http://schemas.microsoft.com/office/spreadsheetml/2010/11/main" uri="{B97F6D7D-B522-45F9-BDA1-12C45D357490}">
          <x15:cacheHierarchy aggregatedColumn="15"/>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4"/>
        </ext>
      </extLst>
    </cacheHierarchy>
    <cacheHierarchy uniqueName="[Measures].[Sum of TotalPrice]" caption="Sum of TotalPrice"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Count of CustomerType]" caption="Count of CustomerType"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Sum of Returned]" caption="Sum of Returned" measure="1" displayFolder="" measureGroup="Range"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rbhi Yuvgavkar" refreshedDate="46298.963803819446" backgroundQuery="1" createdVersion="3" refreshedVersion="8" minRefreshableVersion="3" recordCount="0" supportSubquery="1" supportAdvancedDrill="1" xr:uid="{90C673A4-72EC-4D0E-BE92-16C3C583A4C1}">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Range].[Date]" caption="Date" attribute="1" time="1" defaultMemberUniqueName="[Range].[Date].[All]" allUniqueName="[Range].[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Price]" caption="UnitPrice" attribute="1" defaultMemberUniqueName="[Range].[UnitPrice].[All]" allUniqueName="[Range].[UnitPrice].[All]" dimensionUniqueName="[Range]" displayFolder="" count="0" memberValueDatatype="5" unbalanced="0"/>
    <cacheHierarchy uniqueName="[Range].[StoreLocation]" caption="StoreLocation" attribute="1" defaultMemberUniqueName="[Range].[StoreLocation].[All]" allUniqueName="[Range].[StoreLocation].[All]" dimensionUniqueName="[Range]" displayFolder="" count="0" memberValueDatatype="130" unbalanced="0"/>
    <cacheHierarchy uniqueName="[Range].[CustomerType]" caption="CustomerType" attribute="1" defaultMemberUniqueName="[Range].[CustomerType].[All]" allUniqueName="[Range].[CustomerType].[All]" dimensionUniqueName="[Range]" displayFolder="" count="0" memberValueDatatype="130" unbalanced="0"/>
    <cacheHierarchy uniqueName="[Range].[Discount]" caption="Discount" attribute="1" defaultMemberUniqueName="[Range].[Discount].[All]" allUniqueName="[Range].[Discount].[All]" dimensionUniqueName="[Range]" displayFolder="" count="0" memberValueDatatype="5" unbalanced="0"/>
    <cacheHierarchy uniqueName="[Range].[Salesperson]" caption="Salesperson" attribute="1" defaultMemberUniqueName="[Range].[Salesperson].[All]" allUniqueName="[Range].[Salesperson].[All]" dimensionUniqueName="[Range]" displayFolder="" count="0" memberValueDatatype="130" unbalanced="0"/>
    <cacheHierarchy uniqueName="[Range].[TotalPrice]" caption="TotalPrice" attribute="1" defaultMemberUniqueName="[Range].[TotalPrice].[All]" allUniqueName="[Range].[TotalPrice].[All]" dimensionUniqueName="[Range]" displayFolder="" count="0" memberValueDatatype="5" unbalanced="0"/>
    <cacheHierarchy uniqueName="[Range].[PaymentMethod]" caption="PaymentMethod" attribute="1" defaultMemberUniqueName="[Range].[PaymentMethod].[All]" allUniqueName="[Range].[PaymentMethod].[All]" dimensionUniqueName="[Range]" displayFolder="" count="2" memberValueDatatype="130" unbalanced="0"/>
    <cacheHierarchy uniqueName="[Range].[Promotion]" caption="Promotion" attribute="1" defaultMemberUniqueName="[Range].[Promotion].[All]" allUniqueName="[Range].[Promotion].[All]" dimensionUniqueName="[Range]" displayFolder="" count="0" memberValueDatatype="130" unbalanced="0"/>
    <cacheHierarchy uniqueName="[Range].[Returned]" caption="Returned" attribute="1" defaultMemberUniqueName="[Range].[Returned].[All]" allUniqueName="[Range].[Returned].[All]" dimensionUniqueName="[Range]" displayFolder="" count="0" memberValueDatatype="20" unbalanced="0"/>
    <cacheHierarchy uniqueName="[Range].[OrderID]" caption="OrderID" attribute="1" defaultMemberUniqueName="[Range].[OrderID].[All]" allUniqueName="[Range].[OrderID].[All]" dimensionUniqueName="[Range]" displayFolder="" count="0" memberValueDatatype="130" unbalanced="0"/>
    <cacheHierarchy uniqueName="[Range].[CustomerName]" caption="CustomerName" attribute="1" defaultMemberUniqueName="[Range].[CustomerName].[All]" allUniqueName="[Range].[CustomerName].[All]" dimensionUniqueName="[Range]" displayFolder="" count="0" memberValueDatatype="130" unbalanced="0"/>
    <cacheHierarchy uniqueName="[Range].[ShippingCost]" caption="ShippingCost" attribute="1" defaultMemberUniqueName="[Range].[ShippingCost].[All]" allUniqueName="[Range].[ShippingCost].[All]" dimensionUniqueName="[Range]" displayFolder="" count="0" memberValueDatatype="5" unbalanced="0"/>
    <cacheHierarchy uniqueName="[Range].[OrderDate]" caption="OrderDate" attribute="1" time="1" defaultMemberUniqueName="[Range].[OrderDate].[All]" allUniqueName="[Range].[OrderDate].[All]" dimensionUniqueName="[Range]" displayFolder="" count="0" memberValueDatatype="7" unbalanced="0"/>
    <cacheHierarchy uniqueName="[Range].[DeliveryDate]" caption="DeliveryDate" attribute="1" time="1" defaultMemberUniqueName="[Range].[DeliveryDate].[All]" allUniqueName="[Range].[DeliveryDate].[All]" dimensionUniqueName="[Range]" displayFolder="" count="0" memberValueDatatype="7" unbalanced="0"/>
    <cacheHierarchy uniqueName="[Range].[RegionManager]" caption="RegionManager" attribute="1" defaultMemberUniqueName="[Range].[RegionManager].[All]" allUniqueName="[Range].[RegionManager].[All]" dimensionUniqueName="[Range]" displayFolder="" count="0" memberValueDatatype="130" unbalanced="0"/>
    <cacheHierarchy uniqueName="[Range].[Date (Year)]" caption="Date (Year)" attribute="1" defaultMemberUniqueName="[Range].[Date (Year)].[All]" allUniqueName="[Range].[Date (Year)].[All]" dimensionUniqueName="[Range]" displayFolder="" count="2" memberValueDatatype="130" unbalanced="0"/>
    <cacheHierarchy uniqueName="[Range].[Date (Quarter)]" caption="Date (Quarter)" attribute="1" defaultMemberUniqueName="[Range].[Date (Quarter)].[All]" allUniqueName="[Range].[Date (Quarter)].[All]" dimensionUniqueName="[Range]" displayFolder="" count="2"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eliveryDate (Year)]" caption="DeliveryDate (Year)" attribute="1" defaultMemberUniqueName="[Range].[DeliveryDate (Year)].[All]" allUniqueName="[Range].[DeliveryDate (Year)].[All]" dimensionUniqueName="[Range]" displayFolder="" count="0" memberValueDatatype="130" unbalanced="0"/>
    <cacheHierarchy uniqueName="[Range].[DeliveryDate (Quarter)]" caption="DeliveryDate (Quarter)" attribute="1" defaultMemberUniqueName="[Range].[DeliveryDate (Quarter)].[All]" allUniqueName="[Range].[DeliveryDate (Quarter)].[All]" dimensionUniqueName="[Range]" displayFolder="" count="0" memberValueDatatype="130" unbalanced="0"/>
    <cacheHierarchy uniqueName="[Range].[DeliveryDate (Month)]" caption="DeliveryDate (Month)" attribute="1" defaultMemberUniqueName="[Range].[DeliveryDate (Month)].[All]" allUniqueName="[Range].[Delivery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Range].[DeliveryDate (Month Index)]" caption="DeliveryDate (Month Index)" attribute="1" defaultMemberUniqueName="[Range].[DeliveryDate (Month Index)].[All]" allUniqueName="[Range].[Delivery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Product]" caption="Count of Product" measure="1" displayFolder="" measureGroup="Range" count="0" hidden="1">
      <extLst>
        <ext xmlns:x15="http://schemas.microsoft.com/office/spreadsheetml/2010/11/main" uri="{B97F6D7D-B522-45F9-BDA1-12C45D357490}">
          <x15:cacheHierarchy aggregatedColumn="2"/>
        </ext>
      </extLst>
    </cacheHierarchy>
    <cacheHierarchy uniqueName="[Measures].[Sum of Quantity]" caption="Sum of Quantity" measure="1" displayFolder="" measureGroup="Range" count="0" hidden="1">
      <extLst>
        <ext xmlns:x15="http://schemas.microsoft.com/office/spreadsheetml/2010/11/main" uri="{B97F6D7D-B522-45F9-BDA1-12C45D357490}">
          <x15:cacheHierarchy aggregatedColumn="3"/>
        </ext>
      </extLst>
    </cacheHierarchy>
    <cacheHierarchy uniqueName="[Measures].[Count of OrderID]" caption="Count of OrderID" measure="1" displayFolder="" measureGroup="Range" count="0" hidden="1">
      <extLst>
        <ext xmlns:x15="http://schemas.microsoft.com/office/spreadsheetml/2010/11/main" uri="{B97F6D7D-B522-45F9-BDA1-12C45D357490}">
          <x15:cacheHierarchy aggregatedColumn="13"/>
        </ext>
      </extLst>
    </cacheHierarchy>
    <cacheHierarchy uniqueName="[Measures].[Sum of ShippingCost]" caption="Sum of ShippingCost" measure="1" displayFolder="" measureGroup="Range" count="0" hidden="1">
      <extLst>
        <ext xmlns:x15="http://schemas.microsoft.com/office/spreadsheetml/2010/11/main" uri="{B97F6D7D-B522-45F9-BDA1-12C45D357490}">
          <x15:cacheHierarchy aggregatedColumn="15"/>
        </ext>
      </extLst>
    </cacheHierarchy>
    <cacheHierarchy uniqueName="[Measures].[Sum of UnitPrice]" caption="Sum of UnitPrice" measure="1" displayFolder="" measureGroup="Range" count="0" hidden="1">
      <extLst>
        <ext xmlns:x15="http://schemas.microsoft.com/office/spreadsheetml/2010/11/main" uri="{B97F6D7D-B522-45F9-BDA1-12C45D357490}">
          <x15:cacheHierarchy aggregatedColumn="4"/>
        </ext>
      </extLst>
    </cacheHierarchy>
    <cacheHierarchy uniqueName="[Measures].[Sum of TotalPrice]" caption="Sum of TotalPrice" measure="1" displayFolder="" measureGroup="Range" count="0" hidden="1">
      <extLst>
        <ext xmlns:x15="http://schemas.microsoft.com/office/spreadsheetml/2010/11/main" uri="{B97F6D7D-B522-45F9-BDA1-12C45D357490}">
          <x15:cacheHierarchy aggregatedColumn="9"/>
        </ext>
      </extLst>
    </cacheHierarchy>
    <cacheHierarchy uniqueName="[Measures].[Count of CustomerType]" caption="Count of CustomerType" measure="1" displayFolder="" measureGroup="Range" count="0" hidden="1">
      <extLst>
        <ext xmlns:x15="http://schemas.microsoft.com/office/spreadsheetml/2010/11/main" uri="{B97F6D7D-B522-45F9-BDA1-12C45D357490}">
          <x15:cacheHierarchy aggregatedColumn="6"/>
        </ext>
      </extLst>
    </cacheHierarchy>
    <cacheHierarchy uniqueName="[Measures].[Sum of Discount]" caption="Sum of Discount" measure="1" displayFolder="" measureGroup="Range" count="0" hidden="1">
      <extLst>
        <ext xmlns:x15="http://schemas.microsoft.com/office/spreadsheetml/2010/11/main" uri="{B97F6D7D-B522-45F9-BDA1-12C45D357490}">
          <x15:cacheHierarchy aggregatedColumn="7"/>
        </ext>
      </extLst>
    </cacheHierarchy>
    <cacheHierarchy uniqueName="[Measures].[Sum of Returned]" caption="Sum of Returned" measure="1" displayFolder="" measureGroup="Rang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2498589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467574-D51E-46F8-830D-FCE8674CDB7E}" name="PivotTable8" cacheId="2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L11:L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Price" fld="0"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S$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12D58F-3891-400E-B85E-800E251357B8}"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hippingCost" fld="0"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S$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2AA7A3-9452-4C07-9889-5B9FCB3DF83E}"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Price" fld="0"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S$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34B448-5050-4BF3-B18F-4674F3F012CC}"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3:F2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ShippingCost"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S$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C9538F-524F-4B8F-8FF4-E2D338193C68}" name="PivotTable7"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5:L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S$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045BA56-C376-4E99-A1CE-A658B62877DE}" name="PivotTable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S$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6FD55A-E685-4B3C-B369-119B186F756C}"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16:C23"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TotalPrice"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S$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65F91E-472C-48D9-B1FE-05DDE431803D}" name="PivotTable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23:L28"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Sum of Discount" fld="2" baseField="0" baseItem="0"/>
  </dataField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2">
          <reference field="4294967294" count="1" selected="0">
            <x v="0"/>
          </reference>
          <reference field="1" count="1" selected="0">
            <x v="0"/>
          </reference>
        </references>
      </pivotArea>
    </chartFormat>
    <chartFormat chart="2" format="5" series="1">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S$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3DC19E-5F46-41E9-890C-538B65C43F99}" name="PivotTable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P7:Q13"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Quantity" fld="1"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2" format="11">
      <pivotArea type="data" outline="0" fieldPosition="0">
        <references count="2">
          <reference field="4294967294" count="1" selected="0">
            <x v="0"/>
          </reference>
          <reference field="0" count="1" selected="0">
            <x v="3"/>
          </reference>
        </references>
      </pivotArea>
    </chartFormat>
    <chartFormat chart="2" format="12">
      <pivotArea type="data" outline="0" fieldPosition="0">
        <references count="2">
          <reference field="4294967294" count="1" selected="0">
            <x v="0"/>
          </reference>
          <reference field="0" count="1" selected="0">
            <x v="4"/>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S$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72E87EC-B689-4AF2-8915-F7D18FFE2B94}"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10:H18" firstHeaderRow="1" firstDataRow="2" firstDataCol="1"/>
  <pivotFields count="4">
    <pivotField axis="axisRow" allDrilled="1" subtotalTop="0" showAll="0" dataSourceSort="1" defaultSubtotal="0" defaultAttributeDrillState="1">
      <items count="6">
        <item x="0"/>
        <item x="1"/>
        <item x="2"/>
        <item x="3"/>
        <item x="4"/>
        <item x="5"/>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1"/>
  </colFields>
  <colItems count="3">
    <i>
      <x/>
    </i>
    <i>
      <x v="1"/>
    </i>
    <i t="grand">
      <x/>
    </i>
  </colItems>
  <dataFields count="1">
    <dataField name="Sum of Discount" fld="2"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11" format="0" series="1">
      <pivotArea type="data" outline="0" fieldPosition="0">
        <references count="2">
          <reference field="4294967294" count="1" selected="0">
            <x v="0"/>
          </reference>
          <reference field="1" count="1" selected="0">
            <x v="0"/>
          </reference>
        </references>
      </pivotArea>
    </chartFormat>
    <chartFormat chart="11" format="1" series="1">
      <pivotArea type="data" outline="0" fieldPosition="0">
        <references count="2">
          <reference field="4294967294" count="1" selected="0">
            <x v="0"/>
          </reference>
          <reference field="1" count="1" selected="0">
            <x v="1"/>
          </reference>
        </references>
      </pivotArea>
    </chartFormat>
    <chartFormat chart="15" format="4" series="1">
      <pivotArea type="data" outline="0" fieldPosition="0">
        <references count="2">
          <reference field="4294967294" count="1" selected="0">
            <x v="0"/>
          </reference>
          <reference field="1" count="1" selected="0">
            <x v="0"/>
          </reference>
        </references>
      </pivotArea>
    </chartFormat>
    <chartFormat chart="15" format="5" series="1">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A$1:$S$15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8DEF28-1DC0-43AB-AA5A-1E0AB39808A8}" sourceName="[Range].[Region]">
  <pivotTables>
    <pivotTable tabId="4" name="PivotTable9"/>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s>
  <data>
    <olap pivotCacheId="1249858990">
      <levels count="2">
        <level uniqueName="[Range].[Region].[(All)]" sourceCaption="(All)" count="0"/>
        <level uniqueName="[Range].[Region].[Region]" sourceCaption="Region" count="5">
          <ranges>
            <range startItem="0">
              <i n="[Range].[Region].&amp;[Central]" c="Central"/>
              <i n="[Range].[Region].&amp;[East]" c="East"/>
              <i n="[Range].[Region].&amp;[North]" c="North"/>
              <i n="[Range].[Region].&amp;[South]" c="South"/>
              <i n="[Range].[Region].&amp;[West]" c="West"/>
            </range>
          </ranges>
        </level>
      </levels>
      <selections count="1">
        <selection n="[Range].[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86652A9F-EB13-4944-B17C-75617D6086BA}" sourceName="[Range].[PaymentMethod]">
  <pivotTables>
    <pivotTable tabId="4" name="PivotTable9"/>
    <pivotTable tabId="4" name="PivotTable1"/>
    <pivotTable tabId="4" name="PivotTable10"/>
    <pivotTable tabId="4" name="PivotTable2"/>
    <pivotTable tabId="4" name="PivotTable3"/>
    <pivotTable tabId="4" name="PivotTable4"/>
    <pivotTable tabId="4" name="PivotTable5"/>
    <pivotTable tabId="4" name="PivotTable6"/>
    <pivotTable tabId="4" name="PivotTable7"/>
    <pivotTable tabId="4" name="PivotTable8"/>
  </pivotTables>
  <data>
    <olap pivotCacheId="1249858990">
      <levels count="2">
        <level uniqueName="[Range].[PaymentMethod].[(All)]" sourceCaption="(All)" count="0"/>
        <level uniqueName="[Range].[PaymentMethod].[PaymentMethod]" sourceCaption="PaymentMethod" count="5">
          <ranges>
            <range startItem="0">
              <i n="[Range].[PaymentMethod].&amp;[Cash]" c="Cash"/>
              <i n="[Range].[PaymentMethod].&amp;[Credit Card]" c="Credit Card"/>
              <i n="[Range].[PaymentMethod].&amp;[Debit Card]" c="Debit Card"/>
              <i n="[Range].[PaymentMethod].&amp;[Gift Card]" c="Gift Card"/>
              <i n="[Range].[PaymentMethod].&amp;[Online]" c="Online"/>
            </range>
          </ranges>
        </level>
      </levels>
      <selections count="1">
        <selection n="[Range].[PaymentMetho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4DCA3A7-BFBE-4682-8819-01BEE7805887}" sourceName="[Range].[Product]">
  <pivotTables>
    <pivotTable tabId="4" name="PivotTable10"/>
  </pivotTables>
  <data>
    <olap pivotCacheId="1249858990">
      <levels count="2">
        <level uniqueName="[Range].[Product].[(All)]" sourceCaption="(All)" count="0"/>
        <level uniqueName="[Range].[Product].[Product]" sourceCaption="Product" count="7">
          <ranges>
            <range startItem="0">
              <i n="[Range].[Product].&amp;[Chair]" c="Chair"/>
              <i n="[Range].[Product].&amp;[Desk]" c="Desk"/>
              <i n="[Range].[Product].&amp;[Laptop]" c="Laptop"/>
              <i n="[Range].[Product].&amp;[Monitor]" c="Monitor"/>
              <i n="[Range].[Product].&amp;[Phone]" c="Phone"/>
              <i n="[Range].[Product].&amp;[Printer]" c="Printer"/>
              <i n="[Range].[Product].&amp;[Tablet]" c="Tablet"/>
            </range>
          </ranges>
        </level>
      </levels>
      <selections count="1">
        <selection n="[Range].[Produc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A0A53D0-13F1-4F3B-81D8-9D9FDF05C22D}" sourceName="[Range].[Date (Year)]">
  <pivotTables>
    <pivotTable tabId="4" name="PivotTable6"/>
    <pivotTable tabId="4" name="PivotTable1"/>
    <pivotTable tabId="4" name="PivotTable10"/>
    <pivotTable tabId="4" name="PivotTable2"/>
    <pivotTable tabId="4" name="PivotTable3"/>
    <pivotTable tabId="4" name="PivotTable4"/>
    <pivotTable tabId="4" name="PivotTable5"/>
    <pivotTable tabId="4" name="PivotTable7"/>
    <pivotTable tabId="4" name="PivotTable8"/>
    <pivotTable tabId="4" name="PivotTable9"/>
  </pivotTables>
  <data>
    <olap pivotCacheId="1249858990">
      <levels count="2">
        <level uniqueName="[Range].[Date (Year)].[(All)]" sourceCaption="(All)" count="0"/>
        <level uniqueName="[Range].[Date (Year)].[Date (Year)]" sourceCaption="Date (Year)" count="3">
          <ranges>
            <range startItem="0">
              <i n="[Range].[Date (Year)].&amp;[2023]" c="2023"/>
              <i n="[Range].[Date (Year)].&amp;[2024]" c="2024"/>
              <i n="[Range].[Date (Year)].&amp;[2025]" c="2025"/>
            </range>
          </ranges>
        </level>
      </levels>
      <selections count="1">
        <selection n="[Range].[Date (Year)].[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Quarter" xr10:uid="{138C7DEF-F80F-4F07-81A2-5D0B41A8AF22}" sourceName="[Range].[Date (Quarter)]">
  <pivotTables>
    <pivotTable tabId="4" name="PivotTable6"/>
    <pivotTable tabId="4" name="PivotTable1"/>
    <pivotTable tabId="4" name="PivotTable10"/>
    <pivotTable tabId="4" name="PivotTable2"/>
    <pivotTable tabId="4" name="PivotTable3"/>
    <pivotTable tabId="4" name="PivotTable4"/>
    <pivotTable tabId="4" name="PivotTable5"/>
    <pivotTable tabId="4" name="PivotTable7"/>
    <pivotTable tabId="4" name="PivotTable8"/>
    <pivotTable tabId="4" name="PivotTable9"/>
  </pivotTables>
  <data>
    <olap pivotCacheId="1249858990">
      <levels count="2">
        <level uniqueName="[Range].[Date (Quarter)].[(All)]" sourceCaption="(All)" count="0"/>
        <level uniqueName="[Range].[Date (Quarter)].[Date (Quarter)]" sourceCaption="Date (Quarter)" count="4">
          <ranges>
            <range startItem="0">
              <i n="[Range].[Date (Quarter)].&amp;[Qtr1]" c="Qtr1"/>
              <i n="[Range].[Date (Quarter)].&amp;[Qtr2]" c="Qtr2"/>
              <i n="[Range].[Date (Quarter)].&amp;[Qtr3]" c="Qtr3"/>
              <i n="[Range].[Date (Quarter)].&amp;[Qtr4]" c="Qtr4"/>
            </range>
          </ranges>
        </level>
      </levels>
      <selections count="1">
        <selection n="[Range].[Date (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5D94A48-912B-4991-B048-F6F19CC4CEA5}" cache="Slicer_Region" caption="Region" level="1" style="SlicerStyleLight4" rowHeight="234950"/>
  <slicer name="PaymentMethod" xr10:uid="{81AA7A83-CA55-4D40-82AE-F261F238A65B}" cache="Slicer_PaymentMethod" caption="PaymentMethod" level="1" style="SlicerStyleLight4" rowHeight="234950"/>
  <slicer name="Product" xr10:uid="{9269B76D-A2F7-4535-8D0A-ED006AE6F307}" cache="Slicer_Product" caption="Product" level="1" style="SlicerStyleLight4" rowHeight="234950"/>
  <slicer name="Date (Year)" xr10:uid="{DDE78BB7-1777-4F67-8039-5F9CA46DE902}" cache="Slicer_Date__Year" caption="Date (Year)" level="1" style="SlicerStyleLight4" rowHeight="234950"/>
  <slicer name="Date (Quarter)" xr10:uid="{575F8E93-7E3A-46CE-B02C-52F6B98BDC8C}" cache="Slicer_Date__Quarter" caption="Date (Quarter)" level="1" style="SlicerStyleLight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47A315DB-CAC5-4C87-8326-4F8E26A843C3}" cache="Slicer_Region" caption="Region" level="1" style="SlicerStyleLight4" rowHeight="234950"/>
  <slicer name="PaymentMethod 1" xr10:uid="{53F563EA-C75E-47E8-8041-4777D17EC1AE}" cache="Slicer_PaymentMethod" caption="PaymentMethod" level="1" style="SlicerStyleLight4" rowHeight="234950"/>
  <slicer name="Date (Year) 1" xr10:uid="{28766705-EC85-4E0C-B97E-DB2E3D61834D}" cache="Slicer_Date__Year" caption="Date (Year)" level="1" style="SlicerStyleLight4" rowHeight="234950"/>
  <slicer name="Date (Quarter) 1" xr10:uid="{6C8A6898-CA74-4455-A2B3-CB9BD3A92E1F}" cache="Slicer_Date__Quarter" caption="Date (Quarter)" level="1" style="SlicerStyleLight4"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501"/>
  <sheetViews>
    <sheetView topLeftCell="A39" workbookViewId="0">
      <selection activeCell="E23" sqref="E23"/>
    </sheetView>
  </sheetViews>
  <sheetFormatPr defaultRowHeight="14.4" x14ac:dyDescent="0.3"/>
  <cols>
    <col min="1" max="1" width="14" customWidth="1"/>
    <col min="6" max="6" width="14" customWidth="1"/>
    <col min="7" max="7" width="14.33203125" customWidth="1"/>
    <col min="9" max="9" width="14.5546875" customWidth="1"/>
    <col min="11" max="11" width="16.88671875" customWidth="1"/>
    <col min="12" max="12" width="13.33203125" customWidth="1"/>
    <col min="15" max="15" width="15.33203125" customWidth="1"/>
    <col min="16" max="16" width="12.77734375" customWidth="1"/>
    <col min="17" max="17" width="14.21875" customWidth="1"/>
    <col min="18" max="18" width="12.33203125" customWidth="1"/>
    <col min="19" max="19" width="13.109375"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row>
    <row r="3" spans="1:19" x14ac:dyDescent="0.3">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row>
    <row r="4" spans="1:19" x14ac:dyDescent="0.3">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row>
    <row r="5" spans="1:19" x14ac:dyDescent="0.3">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row>
    <row r="6" spans="1:19" x14ac:dyDescent="0.3">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row>
    <row r="7" spans="1:19" x14ac:dyDescent="0.3">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row>
    <row r="8" spans="1:19" x14ac:dyDescent="0.3">
      <c r="A8" s="2">
        <v>44937</v>
      </c>
      <c r="B8" t="s">
        <v>20</v>
      </c>
      <c r="C8" t="s">
        <v>2929</v>
      </c>
      <c r="D8">
        <v>7</v>
      </c>
      <c r="E8">
        <v>17.5</v>
      </c>
      <c r="F8" t="s">
        <v>33</v>
      </c>
      <c r="G8" t="s">
        <v>36</v>
      </c>
      <c r="H8">
        <v>0.1</v>
      </c>
      <c r="I8" t="s">
        <v>38</v>
      </c>
      <c r="J8">
        <v>110.25</v>
      </c>
      <c r="K8" t="s">
        <v>46</v>
      </c>
      <c r="L8" t="s">
        <v>50</v>
      </c>
      <c r="M8">
        <v>0</v>
      </c>
      <c r="N8" t="s">
        <v>57</v>
      </c>
      <c r="O8" t="s">
        <v>1557</v>
      </c>
      <c r="P8">
        <v>5.0199999999999996</v>
      </c>
      <c r="Q8" s="2">
        <v>44937</v>
      </c>
      <c r="R8" s="2">
        <v>44940</v>
      </c>
      <c r="S8" t="s">
        <v>2923</v>
      </c>
    </row>
    <row r="9" spans="1:19" x14ac:dyDescent="0.3">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row>
    <row r="10" spans="1:19" x14ac:dyDescent="0.3">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row>
    <row r="11" spans="1:19" x14ac:dyDescent="0.3">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row>
    <row r="12" spans="1:19" x14ac:dyDescent="0.3">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row>
    <row r="13" spans="1:19" x14ac:dyDescent="0.3">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row>
    <row r="14" spans="1:19" x14ac:dyDescent="0.3">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row>
    <row r="15" spans="1:19" x14ac:dyDescent="0.3">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row>
    <row r="16" spans="1:19" x14ac:dyDescent="0.3">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row>
    <row r="17" spans="1:19" x14ac:dyDescent="0.3">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row>
    <row r="18" spans="1:19" x14ac:dyDescent="0.3">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row>
    <row r="19" spans="1:19" x14ac:dyDescent="0.3">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row>
    <row r="20" spans="1:19" x14ac:dyDescent="0.3">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row>
    <row r="21" spans="1:19" x14ac:dyDescent="0.3">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row>
    <row r="22" spans="1:19" x14ac:dyDescent="0.3">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row>
    <row r="23" spans="1:19" x14ac:dyDescent="0.3">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row>
    <row r="24" spans="1:19" x14ac:dyDescent="0.3">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row>
    <row r="25" spans="1:19" x14ac:dyDescent="0.3">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row>
    <row r="26" spans="1:19" x14ac:dyDescent="0.3">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row>
    <row r="27" spans="1:19" x14ac:dyDescent="0.3">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row>
    <row r="28" spans="1:19" x14ac:dyDescent="0.3">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row>
    <row r="29" spans="1:19" x14ac:dyDescent="0.3">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row>
    <row r="30" spans="1:19" x14ac:dyDescent="0.3">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row>
    <row r="31" spans="1:19" x14ac:dyDescent="0.3">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row>
    <row r="32" spans="1:19" x14ac:dyDescent="0.3">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row>
    <row r="33" spans="1:19" x14ac:dyDescent="0.3">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row>
    <row r="34" spans="1:19" x14ac:dyDescent="0.3">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row>
    <row r="35" spans="1:19" x14ac:dyDescent="0.3">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row>
    <row r="36" spans="1:19" x14ac:dyDescent="0.3">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row>
    <row r="37" spans="1:19" x14ac:dyDescent="0.3">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row>
    <row r="38" spans="1:19" x14ac:dyDescent="0.3">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row>
    <row r="39" spans="1:19" x14ac:dyDescent="0.3">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row>
    <row r="40" spans="1:19" x14ac:dyDescent="0.3">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row>
    <row r="41" spans="1:19" x14ac:dyDescent="0.3">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row>
    <row r="42" spans="1:19" x14ac:dyDescent="0.3">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row>
    <row r="43" spans="1:19" x14ac:dyDescent="0.3">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row>
    <row r="44" spans="1:19" x14ac:dyDescent="0.3">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row>
    <row r="45" spans="1:19" x14ac:dyDescent="0.3">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row>
    <row r="46" spans="1:19" x14ac:dyDescent="0.3">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row>
    <row r="47" spans="1:19" x14ac:dyDescent="0.3">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row>
    <row r="48" spans="1:19" x14ac:dyDescent="0.3">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row>
    <row r="49" spans="1:19" x14ac:dyDescent="0.3">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row>
    <row r="50" spans="1:19" x14ac:dyDescent="0.3">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row>
    <row r="51" spans="1:19" x14ac:dyDescent="0.3">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row>
    <row r="52" spans="1:19" x14ac:dyDescent="0.3">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row>
    <row r="53" spans="1:19" x14ac:dyDescent="0.3">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row>
    <row r="54" spans="1:19" x14ac:dyDescent="0.3">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row>
    <row r="55" spans="1:19" x14ac:dyDescent="0.3">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row>
    <row r="56" spans="1:19" x14ac:dyDescent="0.3">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row>
    <row r="57" spans="1:19" x14ac:dyDescent="0.3">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row>
    <row r="58" spans="1:19" x14ac:dyDescent="0.3">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row>
    <row r="59" spans="1:19" x14ac:dyDescent="0.3">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row>
    <row r="60" spans="1:19" x14ac:dyDescent="0.3">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row>
    <row r="61" spans="1:19" x14ac:dyDescent="0.3">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row>
    <row r="62" spans="1:19" x14ac:dyDescent="0.3">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row>
    <row r="63" spans="1:19" x14ac:dyDescent="0.3">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row>
    <row r="64" spans="1:19" x14ac:dyDescent="0.3">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row>
    <row r="65" spans="1:19" x14ac:dyDescent="0.3">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row>
    <row r="66" spans="1:19" x14ac:dyDescent="0.3">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row>
    <row r="67" spans="1:19" x14ac:dyDescent="0.3">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row>
    <row r="68" spans="1:19" x14ac:dyDescent="0.3">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row>
    <row r="69" spans="1:19" x14ac:dyDescent="0.3">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row>
    <row r="70" spans="1:19" x14ac:dyDescent="0.3">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row>
    <row r="71" spans="1:19" x14ac:dyDescent="0.3">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row>
    <row r="72" spans="1:19" x14ac:dyDescent="0.3">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row>
    <row r="73" spans="1:19" x14ac:dyDescent="0.3">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row>
    <row r="74" spans="1:19" x14ac:dyDescent="0.3">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row>
    <row r="75" spans="1:19" x14ac:dyDescent="0.3">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row>
    <row r="76" spans="1:19" x14ac:dyDescent="0.3">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row>
    <row r="77" spans="1:19" x14ac:dyDescent="0.3">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row>
    <row r="78" spans="1:19" x14ac:dyDescent="0.3">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row>
    <row r="79" spans="1:19" x14ac:dyDescent="0.3">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row>
    <row r="80" spans="1:19" x14ac:dyDescent="0.3">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row>
    <row r="81" spans="1:19" x14ac:dyDescent="0.3">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row>
    <row r="82" spans="1:19" x14ac:dyDescent="0.3">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row>
    <row r="83" spans="1:19" x14ac:dyDescent="0.3">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row>
    <row r="84" spans="1:19" x14ac:dyDescent="0.3">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row>
    <row r="85" spans="1:19" x14ac:dyDescent="0.3">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row>
    <row r="86" spans="1:19" x14ac:dyDescent="0.3">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row>
    <row r="87" spans="1:19" x14ac:dyDescent="0.3">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row>
    <row r="88" spans="1:19" x14ac:dyDescent="0.3">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row>
    <row r="89" spans="1:19" x14ac:dyDescent="0.3">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row>
    <row r="90" spans="1:19" x14ac:dyDescent="0.3">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row>
    <row r="91" spans="1:19" x14ac:dyDescent="0.3">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row>
    <row r="92" spans="1:19" x14ac:dyDescent="0.3">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row>
    <row r="93" spans="1:19" x14ac:dyDescent="0.3">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row>
    <row r="94" spans="1:19" x14ac:dyDescent="0.3">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row>
    <row r="95" spans="1:19" x14ac:dyDescent="0.3">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row>
    <row r="96" spans="1:19" x14ac:dyDescent="0.3">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row>
    <row r="97" spans="1:19" x14ac:dyDescent="0.3">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row>
    <row r="98" spans="1:19" x14ac:dyDescent="0.3">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row>
    <row r="99" spans="1:19" x14ac:dyDescent="0.3">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row>
    <row r="100" spans="1:19" x14ac:dyDescent="0.3">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row>
    <row r="101" spans="1:19" x14ac:dyDescent="0.3">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row>
    <row r="102" spans="1:19" x14ac:dyDescent="0.3">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row>
    <row r="103" spans="1:19" x14ac:dyDescent="0.3">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row>
    <row r="104" spans="1:19" x14ac:dyDescent="0.3">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row>
    <row r="105" spans="1:19" x14ac:dyDescent="0.3">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row>
    <row r="106" spans="1:19" x14ac:dyDescent="0.3">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row>
    <row r="107" spans="1:19" x14ac:dyDescent="0.3">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row>
    <row r="108" spans="1:19" x14ac:dyDescent="0.3">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row>
    <row r="109" spans="1:19" x14ac:dyDescent="0.3">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row>
    <row r="110" spans="1:19" x14ac:dyDescent="0.3">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row>
    <row r="111" spans="1:19" x14ac:dyDescent="0.3">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row>
    <row r="112" spans="1:19" x14ac:dyDescent="0.3">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row>
    <row r="113" spans="1:19" x14ac:dyDescent="0.3">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row>
    <row r="114" spans="1:19" x14ac:dyDescent="0.3">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row>
    <row r="115" spans="1:19" x14ac:dyDescent="0.3">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row>
    <row r="116" spans="1:19" x14ac:dyDescent="0.3">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row>
    <row r="117" spans="1:19" x14ac:dyDescent="0.3">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row>
    <row r="118" spans="1:19" x14ac:dyDescent="0.3">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row>
    <row r="119" spans="1:19" x14ac:dyDescent="0.3">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row>
    <row r="120" spans="1:19" x14ac:dyDescent="0.3">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row>
    <row r="121" spans="1:19" x14ac:dyDescent="0.3">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row>
    <row r="122" spans="1:19" x14ac:dyDescent="0.3">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row>
    <row r="123" spans="1:19" x14ac:dyDescent="0.3">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row>
    <row r="124" spans="1:19" x14ac:dyDescent="0.3">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row>
    <row r="125" spans="1:19" x14ac:dyDescent="0.3">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row>
    <row r="126" spans="1:19" x14ac:dyDescent="0.3">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row>
    <row r="127" spans="1:19" x14ac:dyDescent="0.3">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row>
    <row r="128" spans="1:19" x14ac:dyDescent="0.3">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row>
    <row r="129" spans="1:19" x14ac:dyDescent="0.3">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row>
    <row r="130" spans="1:19" x14ac:dyDescent="0.3">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row>
    <row r="131" spans="1:19" x14ac:dyDescent="0.3">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row>
    <row r="132" spans="1:19" x14ac:dyDescent="0.3">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row>
    <row r="133" spans="1:19" x14ac:dyDescent="0.3">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row>
    <row r="134" spans="1:19" x14ac:dyDescent="0.3">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row>
    <row r="135" spans="1:19" x14ac:dyDescent="0.3">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row>
    <row r="136" spans="1:19" x14ac:dyDescent="0.3">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row>
    <row r="137" spans="1:19" x14ac:dyDescent="0.3">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row>
    <row r="138" spans="1:19" x14ac:dyDescent="0.3">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row>
    <row r="139" spans="1:19" x14ac:dyDescent="0.3">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row>
    <row r="140" spans="1:19" x14ac:dyDescent="0.3">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row>
    <row r="141" spans="1:19" x14ac:dyDescent="0.3">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row>
    <row r="142" spans="1:19" x14ac:dyDescent="0.3">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row>
    <row r="143" spans="1:19" x14ac:dyDescent="0.3">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row>
    <row r="144" spans="1:19" x14ac:dyDescent="0.3">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row>
    <row r="145" spans="1:19" x14ac:dyDescent="0.3">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row>
    <row r="146" spans="1:19" x14ac:dyDescent="0.3">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row>
    <row r="147" spans="1:19" x14ac:dyDescent="0.3">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row>
    <row r="148" spans="1:19" x14ac:dyDescent="0.3">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row>
    <row r="149" spans="1:19" x14ac:dyDescent="0.3">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row>
    <row r="150" spans="1:19" x14ac:dyDescent="0.3">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row>
    <row r="151" spans="1:19" x14ac:dyDescent="0.3">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row>
    <row r="152" spans="1:19" x14ac:dyDescent="0.3">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row>
    <row r="153" spans="1:19" x14ac:dyDescent="0.3">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row>
    <row r="154" spans="1:19" x14ac:dyDescent="0.3">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row>
    <row r="155" spans="1:19" x14ac:dyDescent="0.3">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row>
    <row r="156" spans="1:19" x14ac:dyDescent="0.3">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row>
    <row r="157" spans="1:19" x14ac:dyDescent="0.3">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row>
    <row r="158" spans="1:19" x14ac:dyDescent="0.3">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row>
    <row r="159" spans="1:19" x14ac:dyDescent="0.3">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row>
    <row r="160" spans="1:19" x14ac:dyDescent="0.3">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row>
    <row r="161" spans="1:19" x14ac:dyDescent="0.3">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row>
    <row r="162" spans="1:19" x14ac:dyDescent="0.3">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row>
    <row r="163" spans="1:19" x14ac:dyDescent="0.3">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row>
    <row r="164" spans="1:19" x14ac:dyDescent="0.3">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row>
    <row r="165" spans="1:19" x14ac:dyDescent="0.3">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row>
    <row r="166" spans="1:19" x14ac:dyDescent="0.3">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row>
    <row r="167" spans="1:19" x14ac:dyDescent="0.3">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row>
    <row r="168" spans="1:19" x14ac:dyDescent="0.3">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row>
    <row r="169" spans="1:19" x14ac:dyDescent="0.3">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row>
    <row r="170" spans="1:19" x14ac:dyDescent="0.3">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row>
    <row r="171" spans="1:19" x14ac:dyDescent="0.3">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row>
    <row r="172" spans="1:19" x14ac:dyDescent="0.3">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row>
    <row r="173" spans="1:19" x14ac:dyDescent="0.3">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row>
    <row r="174" spans="1:19" x14ac:dyDescent="0.3">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row>
    <row r="175" spans="1:19" x14ac:dyDescent="0.3">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row>
    <row r="176" spans="1:19" x14ac:dyDescent="0.3">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row>
    <row r="177" spans="1:19" x14ac:dyDescent="0.3">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row>
    <row r="178" spans="1:19" x14ac:dyDescent="0.3">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row>
    <row r="179" spans="1:19" x14ac:dyDescent="0.3">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row>
    <row r="180" spans="1:19" x14ac:dyDescent="0.3">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row>
    <row r="181" spans="1:19" x14ac:dyDescent="0.3">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row>
    <row r="182" spans="1:19" x14ac:dyDescent="0.3">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row>
    <row r="183" spans="1:19" x14ac:dyDescent="0.3">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row>
    <row r="184" spans="1:19" x14ac:dyDescent="0.3">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row>
    <row r="185" spans="1:19" x14ac:dyDescent="0.3">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row>
    <row r="186" spans="1:19" x14ac:dyDescent="0.3">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row>
    <row r="187" spans="1:19" x14ac:dyDescent="0.3">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row>
    <row r="188" spans="1:19" x14ac:dyDescent="0.3">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row>
    <row r="189" spans="1:19" x14ac:dyDescent="0.3">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row>
    <row r="190" spans="1:19" x14ac:dyDescent="0.3">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row>
    <row r="191" spans="1:19" x14ac:dyDescent="0.3">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row>
    <row r="192" spans="1:19" x14ac:dyDescent="0.3">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row>
    <row r="193" spans="1:19" x14ac:dyDescent="0.3">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row>
    <row r="194" spans="1:19" x14ac:dyDescent="0.3">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row>
    <row r="195" spans="1:19" x14ac:dyDescent="0.3">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row>
    <row r="196" spans="1:19" x14ac:dyDescent="0.3">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row>
    <row r="197" spans="1:19" x14ac:dyDescent="0.3">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row>
    <row r="198" spans="1:19" x14ac:dyDescent="0.3">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row>
    <row r="199" spans="1:19" x14ac:dyDescent="0.3">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row>
    <row r="200" spans="1:19" x14ac:dyDescent="0.3">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row>
    <row r="201" spans="1:19" x14ac:dyDescent="0.3">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row>
    <row r="202" spans="1:19" x14ac:dyDescent="0.3">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row>
    <row r="203" spans="1:19" x14ac:dyDescent="0.3">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row>
    <row r="204" spans="1:19" x14ac:dyDescent="0.3">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row>
    <row r="205" spans="1:19" x14ac:dyDescent="0.3">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row>
    <row r="206" spans="1:19" x14ac:dyDescent="0.3">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row>
    <row r="207" spans="1:19" x14ac:dyDescent="0.3">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row>
    <row r="208" spans="1:19" x14ac:dyDescent="0.3">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row>
    <row r="209" spans="1:19" x14ac:dyDescent="0.3">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row>
    <row r="210" spans="1:19" x14ac:dyDescent="0.3">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row>
    <row r="211" spans="1:19" x14ac:dyDescent="0.3">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row>
    <row r="212" spans="1:19" x14ac:dyDescent="0.3">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row>
    <row r="213" spans="1:19" x14ac:dyDescent="0.3">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row>
    <row r="214" spans="1:19" x14ac:dyDescent="0.3">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row>
    <row r="215" spans="1:19" x14ac:dyDescent="0.3">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row>
    <row r="216" spans="1:19" x14ac:dyDescent="0.3">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row>
    <row r="217" spans="1:19" x14ac:dyDescent="0.3">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row>
    <row r="218" spans="1:19" x14ac:dyDescent="0.3">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row>
    <row r="219" spans="1:19" x14ac:dyDescent="0.3">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row>
    <row r="220" spans="1:19" x14ac:dyDescent="0.3">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row>
    <row r="221" spans="1:19" x14ac:dyDescent="0.3">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row>
    <row r="222" spans="1:19" x14ac:dyDescent="0.3">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row>
    <row r="223" spans="1:19" x14ac:dyDescent="0.3">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row>
    <row r="224" spans="1:19" x14ac:dyDescent="0.3">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row>
    <row r="225" spans="1:19" x14ac:dyDescent="0.3">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row>
    <row r="226" spans="1:19" x14ac:dyDescent="0.3">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row>
    <row r="227" spans="1:19" x14ac:dyDescent="0.3">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row>
    <row r="228" spans="1:19" x14ac:dyDescent="0.3">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row>
    <row r="229" spans="1:19" x14ac:dyDescent="0.3">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row>
    <row r="230" spans="1:19" x14ac:dyDescent="0.3">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row>
    <row r="231" spans="1:19" x14ac:dyDescent="0.3">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row>
    <row r="232" spans="1:19" x14ac:dyDescent="0.3">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row>
    <row r="233" spans="1:19" x14ac:dyDescent="0.3">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row>
    <row r="234" spans="1:19" x14ac:dyDescent="0.3">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row>
    <row r="235" spans="1:19" x14ac:dyDescent="0.3">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row>
    <row r="236" spans="1:19" x14ac:dyDescent="0.3">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row>
    <row r="237" spans="1:19" x14ac:dyDescent="0.3">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row>
    <row r="238" spans="1:19" x14ac:dyDescent="0.3">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row>
    <row r="239" spans="1:19" x14ac:dyDescent="0.3">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row>
    <row r="240" spans="1:19" x14ac:dyDescent="0.3">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row>
    <row r="241" spans="1:19" x14ac:dyDescent="0.3">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row>
    <row r="242" spans="1:19" x14ac:dyDescent="0.3">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row>
    <row r="243" spans="1:19" x14ac:dyDescent="0.3">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row>
    <row r="244" spans="1:19" x14ac:dyDescent="0.3">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row>
    <row r="245" spans="1:19" x14ac:dyDescent="0.3">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row>
    <row r="246" spans="1:19" x14ac:dyDescent="0.3">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row>
    <row r="247" spans="1:19" x14ac:dyDescent="0.3">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row>
    <row r="248" spans="1:19" x14ac:dyDescent="0.3">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row>
    <row r="249" spans="1:19" x14ac:dyDescent="0.3">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row>
    <row r="250" spans="1:19" x14ac:dyDescent="0.3">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row>
    <row r="251" spans="1:19" x14ac:dyDescent="0.3">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row>
    <row r="252" spans="1:19" x14ac:dyDescent="0.3">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row>
    <row r="253" spans="1:19" x14ac:dyDescent="0.3">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row>
    <row r="254" spans="1:19" x14ac:dyDescent="0.3">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row>
    <row r="255" spans="1:19" x14ac:dyDescent="0.3">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row>
    <row r="256" spans="1:19" x14ac:dyDescent="0.3">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row>
    <row r="257" spans="1:19" x14ac:dyDescent="0.3">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row>
    <row r="258" spans="1:19" x14ac:dyDescent="0.3">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row>
    <row r="259" spans="1:19" x14ac:dyDescent="0.3">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row>
    <row r="260" spans="1:19" x14ac:dyDescent="0.3">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row>
    <row r="261" spans="1:19" x14ac:dyDescent="0.3">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row>
    <row r="262" spans="1:19" x14ac:dyDescent="0.3">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row>
    <row r="263" spans="1:19" x14ac:dyDescent="0.3">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row>
    <row r="264" spans="1:19" x14ac:dyDescent="0.3">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row>
    <row r="265" spans="1:19" x14ac:dyDescent="0.3">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row>
    <row r="266" spans="1:19" x14ac:dyDescent="0.3">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row>
    <row r="267" spans="1:19" x14ac:dyDescent="0.3">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row>
    <row r="268" spans="1:19" x14ac:dyDescent="0.3">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row>
    <row r="269" spans="1:19" x14ac:dyDescent="0.3">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row>
    <row r="270" spans="1:19" x14ac:dyDescent="0.3">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row>
    <row r="271" spans="1:19" x14ac:dyDescent="0.3">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row>
    <row r="272" spans="1:19" x14ac:dyDescent="0.3">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row>
    <row r="273" spans="1:19" x14ac:dyDescent="0.3">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row>
    <row r="274" spans="1:19" x14ac:dyDescent="0.3">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row>
    <row r="275" spans="1:19" x14ac:dyDescent="0.3">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row>
    <row r="276" spans="1:19" x14ac:dyDescent="0.3">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row>
    <row r="277" spans="1:19" x14ac:dyDescent="0.3">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row>
    <row r="278" spans="1:19" x14ac:dyDescent="0.3">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row>
    <row r="279" spans="1:19" x14ac:dyDescent="0.3">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row>
    <row r="280" spans="1:19" x14ac:dyDescent="0.3">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row>
    <row r="281" spans="1:19" x14ac:dyDescent="0.3">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row>
    <row r="282" spans="1:19" x14ac:dyDescent="0.3">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row>
    <row r="283" spans="1:19" x14ac:dyDescent="0.3">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row>
    <row r="284" spans="1:19" x14ac:dyDescent="0.3">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row>
    <row r="285" spans="1:19" x14ac:dyDescent="0.3">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row>
    <row r="286" spans="1:19" x14ac:dyDescent="0.3">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row>
    <row r="287" spans="1:19" x14ac:dyDescent="0.3">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row>
    <row r="288" spans="1:19" x14ac:dyDescent="0.3">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row>
    <row r="289" spans="1:19" x14ac:dyDescent="0.3">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row>
    <row r="290" spans="1:19" x14ac:dyDescent="0.3">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row>
    <row r="291" spans="1:19" x14ac:dyDescent="0.3">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row>
    <row r="292" spans="1:19" x14ac:dyDescent="0.3">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row>
    <row r="293" spans="1:19" x14ac:dyDescent="0.3">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row>
    <row r="294" spans="1:19" x14ac:dyDescent="0.3">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row>
    <row r="295" spans="1:19" x14ac:dyDescent="0.3">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row>
    <row r="296" spans="1:19" x14ac:dyDescent="0.3">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row>
    <row r="297" spans="1:19" x14ac:dyDescent="0.3">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row>
    <row r="298" spans="1:19" x14ac:dyDescent="0.3">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row>
    <row r="299" spans="1:19" x14ac:dyDescent="0.3">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row>
    <row r="300" spans="1:19" x14ac:dyDescent="0.3">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row>
    <row r="301" spans="1:19" x14ac:dyDescent="0.3">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row>
    <row r="302" spans="1:19" x14ac:dyDescent="0.3">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row>
    <row r="303" spans="1:19" x14ac:dyDescent="0.3">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row>
    <row r="304" spans="1:19" x14ac:dyDescent="0.3">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row>
    <row r="305" spans="1:19" x14ac:dyDescent="0.3">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row>
    <row r="306" spans="1:19" x14ac:dyDescent="0.3">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row>
    <row r="307" spans="1:19" x14ac:dyDescent="0.3">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row>
    <row r="308" spans="1:19" x14ac:dyDescent="0.3">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row>
    <row r="309" spans="1:19" x14ac:dyDescent="0.3">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row>
    <row r="310" spans="1:19" x14ac:dyDescent="0.3">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row>
    <row r="311" spans="1:19" x14ac:dyDescent="0.3">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row>
    <row r="312" spans="1:19" x14ac:dyDescent="0.3">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row>
    <row r="313" spans="1:19" x14ac:dyDescent="0.3">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row>
    <row r="314" spans="1:19" x14ac:dyDescent="0.3">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row>
    <row r="315" spans="1:19" x14ac:dyDescent="0.3">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row>
    <row r="316" spans="1:19" x14ac:dyDescent="0.3">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row>
    <row r="317" spans="1:19" x14ac:dyDescent="0.3">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row>
    <row r="318" spans="1:19" x14ac:dyDescent="0.3">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row>
    <row r="319" spans="1:19" x14ac:dyDescent="0.3">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row>
    <row r="320" spans="1:19" x14ac:dyDescent="0.3">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row>
    <row r="321" spans="1:19" x14ac:dyDescent="0.3">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row>
    <row r="322" spans="1:19" x14ac:dyDescent="0.3">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row>
    <row r="323" spans="1:19" x14ac:dyDescent="0.3">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row>
    <row r="324" spans="1:19" x14ac:dyDescent="0.3">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row>
    <row r="325" spans="1:19" x14ac:dyDescent="0.3">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row>
    <row r="326" spans="1:19" x14ac:dyDescent="0.3">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row>
    <row r="327" spans="1:19" x14ac:dyDescent="0.3">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row>
    <row r="328" spans="1:19" x14ac:dyDescent="0.3">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row>
    <row r="329" spans="1:19" x14ac:dyDescent="0.3">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row>
    <row r="330" spans="1:19" x14ac:dyDescent="0.3">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row>
    <row r="331" spans="1:19" x14ac:dyDescent="0.3">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row>
    <row r="332" spans="1:19" x14ac:dyDescent="0.3">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row>
    <row r="333" spans="1:19" x14ac:dyDescent="0.3">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row>
    <row r="334" spans="1:19" x14ac:dyDescent="0.3">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row>
    <row r="335" spans="1:19" x14ac:dyDescent="0.3">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row>
    <row r="336" spans="1:19" x14ac:dyDescent="0.3">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row>
    <row r="337" spans="1:19" x14ac:dyDescent="0.3">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row>
    <row r="338" spans="1:19" x14ac:dyDescent="0.3">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row>
    <row r="339" spans="1:19" x14ac:dyDescent="0.3">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row>
    <row r="340" spans="1:19" x14ac:dyDescent="0.3">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row>
    <row r="341" spans="1:19" x14ac:dyDescent="0.3">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row>
    <row r="342" spans="1:19" x14ac:dyDescent="0.3">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row>
    <row r="343" spans="1:19" x14ac:dyDescent="0.3">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row>
    <row r="344" spans="1:19" x14ac:dyDescent="0.3">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row>
    <row r="345" spans="1:19" x14ac:dyDescent="0.3">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row>
    <row r="346" spans="1:19" x14ac:dyDescent="0.3">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row>
    <row r="347" spans="1:19" x14ac:dyDescent="0.3">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row>
    <row r="348" spans="1:19" x14ac:dyDescent="0.3">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row>
    <row r="349" spans="1:19" x14ac:dyDescent="0.3">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row>
    <row r="350" spans="1:19" x14ac:dyDescent="0.3">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row>
    <row r="351" spans="1:19" x14ac:dyDescent="0.3">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row>
    <row r="352" spans="1:19" x14ac:dyDescent="0.3">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row>
    <row r="353" spans="1:19" x14ac:dyDescent="0.3">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row>
    <row r="354" spans="1:19" x14ac:dyDescent="0.3">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row>
    <row r="355" spans="1:19" x14ac:dyDescent="0.3">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row>
    <row r="356" spans="1:19" x14ac:dyDescent="0.3">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row>
    <row r="357" spans="1:19" x14ac:dyDescent="0.3">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row>
    <row r="358" spans="1:19" x14ac:dyDescent="0.3">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row>
    <row r="359" spans="1:19" x14ac:dyDescent="0.3">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row>
    <row r="360" spans="1:19" x14ac:dyDescent="0.3">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row>
    <row r="361" spans="1:19" x14ac:dyDescent="0.3">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row>
    <row r="362" spans="1:19" x14ac:dyDescent="0.3">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row>
    <row r="363" spans="1:19" x14ac:dyDescent="0.3">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row>
    <row r="364" spans="1:19" x14ac:dyDescent="0.3">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row>
    <row r="365" spans="1:19" x14ac:dyDescent="0.3">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row>
    <row r="366" spans="1:19" x14ac:dyDescent="0.3">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row>
    <row r="367" spans="1:19" x14ac:dyDescent="0.3">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row>
    <row r="368" spans="1:19" x14ac:dyDescent="0.3">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row>
    <row r="369" spans="1:19" x14ac:dyDescent="0.3">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row>
    <row r="370" spans="1:19" x14ac:dyDescent="0.3">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row>
    <row r="371" spans="1:19" x14ac:dyDescent="0.3">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row>
    <row r="372" spans="1:19" x14ac:dyDescent="0.3">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row>
    <row r="373" spans="1:19" x14ac:dyDescent="0.3">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row>
    <row r="374" spans="1:19" x14ac:dyDescent="0.3">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row>
    <row r="375" spans="1:19" x14ac:dyDescent="0.3">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row>
    <row r="376" spans="1:19" x14ac:dyDescent="0.3">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row>
    <row r="377" spans="1:19" x14ac:dyDescent="0.3">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row>
    <row r="378" spans="1:19" x14ac:dyDescent="0.3">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row>
    <row r="379" spans="1:19" x14ac:dyDescent="0.3">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row>
    <row r="380" spans="1:19" x14ac:dyDescent="0.3">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row>
    <row r="381" spans="1:19" x14ac:dyDescent="0.3">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row>
    <row r="382" spans="1:19" x14ac:dyDescent="0.3">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row>
    <row r="383" spans="1:19" x14ac:dyDescent="0.3">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row>
    <row r="384" spans="1:19" x14ac:dyDescent="0.3">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row>
    <row r="385" spans="1:19" x14ac:dyDescent="0.3">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row>
    <row r="386" spans="1:19" x14ac:dyDescent="0.3">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row>
    <row r="387" spans="1:19" x14ac:dyDescent="0.3">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row>
    <row r="388" spans="1:19" x14ac:dyDescent="0.3">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row>
    <row r="389" spans="1:19" x14ac:dyDescent="0.3">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row>
    <row r="390" spans="1:19" x14ac:dyDescent="0.3">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row>
    <row r="391" spans="1:19" x14ac:dyDescent="0.3">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row>
    <row r="392" spans="1:19" x14ac:dyDescent="0.3">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row>
    <row r="393" spans="1:19" x14ac:dyDescent="0.3">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row>
    <row r="394" spans="1:19" x14ac:dyDescent="0.3">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row>
    <row r="395" spans="1:19" x14ac:dyDescent="0.3">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row>
    <row r="396" spans="1:19" x14ac:dyDescent="0.3">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row>
    <row r="397" spans="1:19" x14ac:dyDescent="0.3">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row>
    <row r="398" spans="1:19" x14ac:dyDescent="0.3">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row>
    <row r="399" spans="1:19" x14ac:dyDescent="0.3">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row>
    <row r="400" spans="1:19" x14ac:dyDescent="0.3">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row>
    <row r="401" spans="1:19" x14ac:dyDescent="0.3">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row>
    <row r="402" spans="1:19" x14ac:dyDescent="0.3">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row>
    <row r="403" spans="1:19" x14ac:dyDescent="0.3">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row>
    <row r="404" spans="1:19" x14ac:dyDescent="0.3">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row>
    <row r="405" spans="1:19" x14ac:dyDescent="0.3">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row>
    <row r="406" spans="1:19" x14ac:dyDescent="0.3">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row>
    <row r="407" spans="1:19" x14ac:dyDescent="0.3">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row>
    <row r="408" spans="1:19" x14ac:dyDescent="0.3">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row>
    <row r="409" spans="1:19" x14ac:dyDescent="0.3">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row>
    <row r="410" spans="1:19" x14ac:dyDescent="0.3">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row>
    <row r="411" spans="1:19" x14ac:dyDescent="0.3">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row>
    <row r="412" spans="1:19" x14ac:dyDescent="0.3">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row>
    <row r="413" spans="1:19" x14ac:dyDescent="0.3">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row>
    <row r="414" spans="1:19" x14ac:dyDescent="0.3">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row>
    <row r="415" spans="1:19" x14ac:dyDescent="0.3">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row>
    <row r="416" spans="1:19" x14ac:dyDescent="0.3">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row>
    <row r="417" spans="1:19" x14ac:dyDescent="0.3">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row>
    <row r="418" spans="1:19" x14ac:dyDescent="0.3">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row>
    <row r="419" spans="1:19" x14ac:dyDescent="0.3">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row>
    <row r="420" spans="1:19" x14ac:dyDescent="0.3">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row>
    <row r="421" spans="1:19" x14ac:dyDescent="0.3">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row>
    <row r="422" spans="1:19" x14ac:dyDescent="0.3">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row>
    <row r="423" spans="1:19" x14ac:dyDescent="0.3">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row>
    <row r="424" spans="1:19" x14ac:dyDescent="0.3">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row>
    <row r="425" spans="1:19" x14ac:dyDescent="0.3">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row>
    <row r="426" spans="1:19" x14ac:dyDescent="0.3">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row>
    <row r="427" spans="1:19" x14ac:dyDescent="0.3">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row>
    <row r="428" spans="1:19" x14ac:dyDescent="0.3">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row>
    <row r="429" spans="1:19" x14ac:dyDescent="0.3">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row>
    <row r="430" spans="1:19" x14ac:dyDescent="0.3">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row>
    <row r="431" spans="1:19" x14ac:dyDescent="0.3">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row>
    <row r="432" spans="1:19" x14ac:dyDescent="0.3">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row>
    <row r="433" spans="1:19" x14ac:dyDescent="0.3">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row>
    <row r="434" spans="1:19" x14ac:dyDescent="0.3">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row>
    <row r="435" spans="1:19" x14ac:dyDescent="0.3">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row>
    <row r="436" spans="1:19" x14ac:dyDescent="0.3">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row>
    <row r="437" spans="1:19" x14ac:dyDescent="0.3">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row>
    <row r="438" spans="1:19" x14ac:dyDescent="0.3">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row>
    <row r="439" spans="1:19" x14ac:dyDescent="0.3">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row>
    <row r="440" spans="1:19" x14ac:dyDescent="0.3">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row>
    <row r="441" spans="1:19" x14ac:dyDescent="0.3">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row>
    <row r="442" spans="1:19" x14ac:dyDescent="0.3">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row>
    <row r="443" spans="1:19" x14ac:dyDescent="0.3">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row>
    <row r="444" spans="1:19" x14ac:dyDescent="0.3">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row>
    <row r="445" spans="1:19" x14ac:dyDescent="0.3">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row>
    <row r="446" spans="1:19" x14ac:dyDescent="0.3">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row>
    <row r="447" spans="1:19" x14ac:dyDescent="0.3">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row>
    <row r="448" spans="1:19" x14ac:dyDescent="0.3">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row>
    <row r="449" spans="1:19" x14ac:dyDescent="0.3">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row>
    <row r="450" spans="1:19" x14ac:dyDescent="0.3">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row>
    <row r="451" spans="1:19" x14ac:dyDescent="0.3">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row>
    <row r="452" spans="1:19" x14ac:dyDescent="0.3">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row>
    <row r="453" spans="1:19" x14ac:dyDescent="0.3">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row>
    <row r="454" spans="1:19" x14ac:dyDescent="0.3">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row>
    <row r="455" spans="1:19" x14ac:dyDescent="0.3">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row>
    <row r="456" spans="1:19" x14ac:dyDescent="0.3">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row>
    <row r="457" spans="1:19" x14ac:dyDescent="0.3">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row>
    <row r="458" spans="1:19" x14ac:dyDescent="0.3">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row>
    <row r="459" spans="1:19" x14ac:dyDescent="0.3">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row>
    <row r="460" spans="1:19" x14ac:dyDescent="0.3">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row>
    <row r="461" spans="1:19" x14ac:dyDescent="0.3">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row>
    <row r="462" spans="1:19" x14ac:dyDescent="0.3">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row>
    <row r="463" spans="1:19" x14ac:dyDescent="0.3">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row>
    <row r="464" spans="1:19" x14ac:dyDescent="0.3">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row>
    <row r="465" spans="1:19" x14ac:dyDescent="0.3">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row>
    <row r="466" spans="1:19" x14ac:dyDescent="0.3">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row>
    <row r="467" spans="1:19" x14ac:dyDescent="0.3">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row>
    <row r="468" spans="1:19" x14ac:dyDescent="0.3">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row>
    <row r="469" spans="1:19" x14ac:dyDescent="0.3">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row>
    <row r="470" spans="1:19" x14ac:dyDescent="0.3">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row>
    <row r="471" spans="1:19" x14ac:dyDescent="0.3">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row>
    <row r="472" spans="1:19" x14ac:dyDescent="0.3">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row>
    <row r="473" spans="1:19" x14ac:dyDescent="0.3">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row>
    <row r="474" spans="1:19" x14ac:dyDescent="0.3">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row>
    <row r="475" spans="1:19" x14ac:dyDescent="0.3">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row>
    <row r="476" spans="1:19" x14ac:dyDescent="0.3">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row>
    <row r="477" spans="1:19" x14ac:dyDescent="0.3">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row>
    <row r="478" spans="1:19" x14ac:dyDescent="0.3">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row>
    <row r="479" spans="1:19" x14ac:dyDescent="0.3">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row>
    <row r="480" spans="1:19" x14ac:dyDescent="0.3">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row>
    <row r="481" spans="1:19" x14ac:dyDescent="0.3">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row>
    <row r="482" spans="1:19" x14ac:dyDescent="0.3">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row>
    <row r="483" spans="1:19" x14ac:dyDescent="0.3">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row>
    <row r="484" spans="1:19" x14ac:dyDescent="0.3">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row>
    <row r="485" spans="1:19" x14ac:dyDescent="0.3">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row>
    <row r="486" spans="1:19" x14ac:dyDescent="0.3">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row>
    <row r="487" spans="1:19" x14ac:dyDescent="0.3">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row>
    <row r="488" spans="1:19" x14ac:dyDescent="0.3">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row>
    <row r="489" spans="1:19" x14ac:dyDescent="0.3">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row>
    <row r="490" spans="1:19" x14ac:dyDescent="0.3">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row>
    <row r="491" spans="1:19" x14ac:dyDescent="0.3">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row>
    <row r="492" spans="1:19" x14ac:dyDescent="0.3">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row>
    <row r="493" spans="1:19" x14ac:dyDescent="0.3">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row>
    <row r="494" spans="1:19" x14ac:dyDescent="0.3">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row>
    <row r="495" spans="1:19" x14ac:dyDescent="0.3">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row>
    <row r="496" spans="1:19" x14ac:dyDescent="0.3">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row>
    <row r="497" spans="1:19" x14ac:dyDescent="0.3">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row>
    <row r="498" spans="1:19" x14ac:dyDescent="0.3">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row>
    <row r="499" spans="1:19" x14ac:dyDescent="0.3">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row>
    <row r="500" spans="1:19" x14ac:dyDescent="0.3">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row>
    <row r="501" spans="1:19" x14ac:dyDescent="0.3">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row>
    <row r="502" spans="1:19" x14ac:dyDescent="0.3">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row>
    <row r="503" spans="1:19" x14ac:dyDescent="0.3">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row>
    <row r="504" spans="1:19" x14ac:dyDescent="0.3">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row>
    <row r="505" spans="1:19" x14ac:dyDescent="0.3">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row>
    <row r="506" spans="1:19" x14ac:dyDescent="0.3">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row>
    <row r="507" spans="1:19" x14ac:dyDescent="0.3">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row>
    <row r="508" spans="1:19" x14ac:dyDescent="0.3">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row>
    <row r="509" spans="1:19" x14ac:dyDescent="0.3">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row>
    <row r="510" spans="1:19" x14ac:dyDescent="0.3">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row>
    <row r="511" spans="1:19" x14ac:dyDescent="0.3">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row>
    <row r="512" spans="1:19" x14ac:dyDescent="0.3">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row>
    <row r="513" spans="1:19" x14ac:dyDescent="0.3">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row>
    <row r="514" spans="1:19" x14ac:dyDescent="0.3">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row>
    <row r="515" spans="1:19" x14ac:dyDescent="0.3">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row>
    <row r="516" spans="1:19" x14ac:dyDescent="0.3">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row>
    <row r="517" spans="1:19" x14ac:dyDescent="0.3">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row>
    <row r="518" spans="1:19" x14ac:dyDescent="0.3">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row>
    <row r="519" spans="1:19" x14ac:dyDescent="0.3">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row>
    <row r="520" spans="1:19" x14ac:dyDescent="0.3">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row>
    <row r="521" spans="1:19" x14ac:dyDescent="0.3">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row>
    <row r="522" spans="1:19" x14ac:dyDescent="0.3">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row>
    <row r="523" spans="1:19" x14ac:dyDescent="0.3">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row>
    <row r="524" spans="1:19" x14ac:dyDescent="0.3">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row>
    <row r="525" spans="1:19" x14ac:dyDescent="0.3">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row>
    <row r="526" spans="1:19" x14ac:dyDescent="0.3">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row>
    <row r="527" spans="1:19" x14ac:dyDescent="0.3">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row>
    <row r="528" spans="1:19" x14ac:dyDescent="0.3">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row>
    <row r="529" spans="1:19" x14ac:dyDescent="0.3">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row>
    <row r="530" spans="1:19" x14ac:dyDescent="0.3">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row>
    <row r="531" spans="1:19" x14ac:dyDescent="0.3">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row>
    <row r="532" spans="1:19" x14ac:dyDescent="0.3">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row>
    <row r="533" spans="1:19" x14ac:dyDescent="0.3">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row>
    <row r="534" spans="1:19" x14ac:dyDescent="0.3">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row>
    <row r="535" spans="1:19" x14ac:dyDescent="0.3">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row>
    <row r="536" spans="1:19" x14ac:dyDescent="0.3">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row>
    <row r="537" spans="1:19" x14ac:dyDescent="0.3">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row>
    <row r="538" spans="1:19" x14ac:dyDescent="0.3">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row>
    <row r="539" spans="1:19" x14ac:dyDescent="0.3">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row>
    <row r="540" spans="1:19" x14ac:dyDescent="0.3">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row>
    <row r="541" spans="1:19" x14ac:dyDescent="0.3">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row>
    <row r="542" spans="1:19" x14ac:dyDescent="0.3">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row>
    <row r="543" spans="1:19" x14ac:dyDescent="0.3">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row>
    <row r="544" spans="1:19" x14ac:dyDescent="0.3">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row>
    <row r="545" spans="1:19" x14ac:dyDescent="0.3">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row>
    <row r="546" spans="1:19" x14ac:dyDescent="0.3">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row>
    <row r="547" spans="1:19" x14ac:dyDescent="0.3">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row>
    <row r="548" spans="1:19" x14ac:dyDescent="0.3">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row>
    <row r="549" spans="1:19" x14ac:dyDescent="0.3">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row>
    <row r="550" spans="1:19" x14ac:dyDescent="0.3">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row>
    <row r="551" spans="1:19" x14ac:dyDescent="0.3">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row>
    <row r="552" spans="1:19" x14ac:dyDescent="0.3">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row>
    <row r="553" spans="1:19" x14ac:dyDescent="0.3">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row>
    <row r="554" spans="1:19" x14ac:dyDescent="0.3">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row>
    <row r="555" spans="1:19" x14ac:dyDescent="0.3">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row>
    <row r="556" spans="1:19" x14ac:dyDescent="0.3">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row>
    <row r="557" spans="1:19" x14ac:dyDescent="0.3">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row>
    <row r="558" spans="1:19" x14ac:dyDescent="0.3">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row>
    <row r="559" spans="1:19" x14ac:dyDescent="0.3">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row>
    <row r="560" spans="1:19" x14ac:dyDescent="0.3">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row>
    <row r="561" spans="1:19" x14ac:dyDescent="0.3">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row>
    <row r="562" spans="1:19" x14ac:dyDescent="0.3">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row>
    <row r="563" spans="1:19" x14ac:dyDescent="0.3">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row>
    <row r="564" spans="1:19" x14ac:dyDescent="0.3">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row>
    <row r="565" spans="1:19" x14ac:dyDescent="0.3">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row>
    <row r="566" spans="1:19" x14ac:dyDescent="0.3">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row>
    <row r="567" spans="1:19" x14ac:dyDescent="0.3">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row>
    <row r="568" spans="1:19" x14ac:dyDescent="0.3">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row>
    <row r="569" spans="1:19" x14ac:dyDescent="0.3">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row>
    <row r="570" spans="1:19" x14ac:dyDescent="0.3">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row>
    <row r="571" spans="1:19" x14ac:dyDescent="0.3">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row>
    <row r="572" spans="1:19" x14ac:dyDescent="0.3">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row>
    <row r="573" spans="1:19" x14ac:dyDescent="0.3">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row>
    <row r="574" spans="1:19" x14ac:dyDescent="0.3">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row>
    <row r="575" spans="1:19" x14ac:dyDescent="0.3">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row>
    <row r="576" spans="1:19" x14ac:dyDescent="0.3">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row>
    <row r="577" spans="1:19" x14ac:dyDescent="0.3">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row>
    <row r="578" spans="1:19" x14ac:dyDescent="0.3">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row>
    <row r="579" spans="1:19" x14ac:dyDescent="0.3">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row>
    <row r="580" spans="1:19" x14ac:dyDescent="0.3">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row>
    <row r="581" spans="1:19" x14ac:dyDescent="0.3">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row>
    <row r="582" spans="1:19" x14ac:dyDescent="0.3">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row>
    <row r="583" spans="1:19" x14ac:dyDescent="0.3">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row>
    <row r="584" spans="1:19" x14ac:dyDescent="0.3">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row>
    <row r="585" spans="1:19" x14ac:dyDescent="0.3">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row>
    <row r="586" spans="1:19" x14ac:dyDescent="0.3">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row>
    <row r="587" spans="1:19" x14ac:dyDescent="0.3">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row>
    <row r="588" spans="1:19" x14ac:dyDescent="0.3">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row>
    <row r="589" spans="1:19" x14ac:dyDescent="0.3">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row>
    <row r="590" spans="1:19" x14ac:dyDescent="0.3">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row>
    <row r="591" spans="1:19" x14ac:dyDescent="0.3">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row>
    <row r="592" spans="1:19" x14ac:dyDescent="0.3">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row>
    <row r="593" spans="1:19" x14ac:dyDescent="0.3">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row>
    <row r="594" spans="1:19" x14ac:dyDescent="0.3">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row>
    <row r="595" spans="1:19" x14ac:dyDescent="0.3">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row>
    <row r="596" spans="1:19" x14ac:dyDescent="0.3">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row>
    <row r="597" spans="1:19" x14ac:dyDescent="0.3">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row>
    <row r="598" spans="1:19" x14ac:dyDescent="0.3">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row>
    <row r="599" spans="1:19" x14ac:dyDescent="0.3">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row>
    <row r="600" spans="1:19" x14ac:dyDescent="0.3">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row>
    <row r="601" spans="1:19" x14ac:dyDescent="0.3">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row>
    <row r="602" spans="1:19" x14ac:dyDescent="0.3">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row>
    <row r="603" spans="1:19" x14ac:dyDescent="0.3">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row>
    <row r="604" spans="1:19" x14ac:dyDescent="0.3">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row>
    <row r="605" spans="1:19" x14ac:dyDescent="0.3">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row>
    <row r="606" spans="1:19" x14ac:dyDescent="0.3">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row>
    <row r="607" spans="1:19" x14ac:dyDescent="0.3">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row>
    <row r="608" spans="1:19" x14ac:dyDescent="0.3">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row>
    <row r="609" spans="1:19" x14ac:dyDescent="0.3">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row>
    <row r="610" spans="1:19" x14ac:dyDescent="0.3">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row>
    <row r="611" spans="1:19" x14ac:dyDescent="0.3">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row>
    <row r="612" spans="1:19" x14ac:dyDescent="0.3">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row>
    <row r="613" spans="1:19" x14ac:dyDescent="0.3">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row>
    <row r="614" spans="1:19" x14ac:dyDescent="0.3">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row>
    <row r="615" spans="1:19" x14ac:dyDescent="0.3">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row>
    <row r="616" spans="1:19" x14ac:dyDescent="0.3">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row>
    <row r="617" spans="1:19" x14ac:dyDescent="0.3">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row>
    <row r="618" spans="1:19" x14ac:dyDescent="0.3">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row>
    <row r="619" spans="1:19" x14ac:dyDescent="0.3">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row>
    <row r="620" spans="1:19" x14ac:dyDescent="0.3">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row>
    <row r="621" spans="1:19" x14ac:dyDescent="0.3">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row>
    <row r="622" spans="1:19" x14ac:dyDescent="0.3">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row>
    <row r="623" spans="1:19" x14ac:dyDescent="0.3">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row>
    <row r="624" spans="1:19" x14ac:dyDescent="0.3">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row>
    <row r="625" spans="1:19" x14ac:dyDescent="0.3">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row>
    <row r="626" spans="1:19" x14ac:dyDescent="0.3">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row>
    <row r="627" spans="1:19" x14ac:dyDescent="0.3">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row>
    <row r="628" spans="1:19" x14ac:dyDescent="0.3">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row>
    <row r="629" spans="1:19" x14ac:dyDescent="0.3">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row>
    <row r="630" spans="1:19" x14ac:dyDescent="0.3">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row>
    <row r="631" spans="1:19" x14ac:dyDescent="0.3">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row>
    <row r="632" spans="1:19" x14ac:dyDescent="0.3">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row>
    <row r="633" spans="1:19" x14ac:dyDescent="0.3">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row>
    <row r="634" spans="1:19" x14ac:dyDescent="0.3">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row>
    <row r="635" spans="1:19" x14ac:dyDescent="0.3">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row>
    <row r="636" spans="1:19" x14ac:dyDescent="0.3">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row>
    <row r="637" spans="1:19" x14ac:dyDescent="0.3">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row>
    <row r="638" spans="1:19" x14ac:dyDescent="0.3">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row>
    <row r="639" spans="1:19" x14ac:dyDescent="0.3">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row>
    <row r="640" spans="1:19" x14ac:dyDescent="0.3">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row>
    <row r="641" spans="1:19" x14ac:dyDescent="0.3">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row>
    <row r="642" spans="1:19" x14ac:dyDescent="0.3">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row>
    <row r="643" spans="1:19" x14ac:dyDescent="0.3">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row>
    <row r="644" spans="1:19" x14ac:dyDescent="0.3">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row>
    <row r="645" spans="1:19" x14ac:dyDescent="0.3">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row>
    <row r="646" spans="1:19" x14ac:dyDescent="0.3">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row>
    <row r="647" spans="1:19" x14ac:dyDescent="0.3">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row>
    <row r="648" spans="1:19" x14ac:dyDescent="0.3">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row>
    <row r="649" spans="1:19" x14ac:dyDescent="0.3">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row>
    <row r="650" spans="1:19" x14ac:dyDescent="0.3">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row>
    <row r="651" spans="1:19" x14ac:dyDescent="0.3">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row>
    <row r="652" spans="1:19" x14ac:dyDescent="0.3">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row>
    <row r="653" spans="1:19" x14ac:dyDescent="0.3">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row>
    <row r="654" spans="1:19" x14ac:dyDescent="0.3">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row>
    <row r="655" spans="1:19" x14ac:dyDescent="0.3">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row>
    <row r="656" spans="1:19" x14ac:dyDescent="0.3">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row>
    <row r="657" spans="1:19" x14ac:dyDescent="0.3">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row>
    <row r="658" spans="1:19" x14ac:dyDescent="0.3">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row>
    <row r="659" spans="1:19" x14ac:dyDescent="0.3">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row>
    <row r="660" spans="1:19" x14ac:dyDescent="0.3">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row>
    <row r="661" spans="1:19" x14ac:dyDescent="0.3">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row>
    <row r="662" spans="1:19" x14ac:dyDescent="0.3">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row>
    <row r="663" spans="1:19" x14ac:dyDescent="0.3">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row>
    <row r="664" spans="1:19" x14ac:dyDescent="0.3">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row>
    <row r="665" spans="1:19" x14ac:dyDescent="0.3">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row>
    <row r="666" spans="1:19" x14ac:dyDescent="0.3">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row>
    <row r="667" spans="1:19" x14ac:dyDescent="0.3">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row>
    <row r="668" spans="1:19" x14ac:dyDescent="0.3">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row>
    <row r="669" spans="1:19" x14ac:dyDescent="0.3">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row>
    <row r="670" spans="1:19" x14ac:dyDescent="0.3">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row>
    <row r="671" spans="1:19" x14ac:dyDescent="0.3">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row>
    <row r="672" spans="1:19" x14ac:dyDescent="0.3">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row>
    <row r="673" spans="1:19" x14ac:dyDescent="0.3">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row>
    <row r="674" spans="1:19" x14ac:dyDescent="0.3">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row>
    <row r="675" spans="1:19" x14ac:dyDescent="0.3">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row>
    <row r="676" spans="1:19" x14ac:dyDescent="0.3">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row>
    <row r="677" spans="1:19" x14ac:dyDescent="0.3">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row>
    <row r="678" spans="1:19" x14ac:dyDescent="0.3">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row>
    <row r="679" spans="1:19" x14ac:dyDescent="0.3">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row>
    <row r="680" spans="1:19" x14ac:dyDescent="0.3">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row>
    <row r="681" spans="1:19" x14ac:dyDescent="0.3">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row>
    <row r="682" spans="1:19" x14ac:dyDescent="0.3">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row>
    <row r="683" spans="1:19" x14ac:dyDescent="0.3">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row>
    <row r="684" spans="1:19" x14ac:dyDescent="0.3">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row>
    <row r="685" spans="1:19" x14ac:dyDescent="0.3">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row>
    <row r="686" spans="1:19" x14ac:dyDescent="0.3">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row>
    <row r="687" spans="1:19" x14ac:dyDescent="0.3">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row>
    <row r="688" spans="1:19" x14ac:dyDescent="0.3">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row>
    <row r="689" spans="1:19" x14ac:dyDescent="0.3">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row>
    <row r="690" spans="1:19" x14ac:dyDescent="0.3">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row>
    <row r="691" spans="1:19" x14ac:dyDescent="0.3">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row>
    <row r="692" spans="1:19" x14ac:dyDescent="0.3">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row>
    <row r="693" spans="1:19" x14ac:dyDescent="0.3">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row>
    <row r="694" spans="1:19" x14ac:dyDescent="0.3">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row>
    <row r="695" spans="1:19" x14ac:dyDescent="0.3">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row>
    <row r="696" spans="1:19" x14ac:dyDescent="0.3">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row>
    <row r="697" spans="1:19" x14ac:dyDescent="0.3">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row>
    <row r="698" spans="1:19" x14ac:dyDescent="0.3">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row>
    <row r="699" spans="1:19" x14ac:dyDescent="0.3">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row>
    <row r="700" spans="1:19" x14ac:dyDescent="0.3">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row>
    <row r="701" spans="1:19" x14ac:dyDescent="0.3">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row>
    <row r="702" spans="1:19" x14ac:dyDescent="0.3">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row>
    <row r="703" spans="1:19" x14ac:dyDescent="0.3">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row>
    <row r="704" spans="1:19" x14ac:dyDescent="0.3">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row>
    <row r="705" spans="1:19" x14ac:dyDescent="0.3">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row>
    <row r="706" spans="1:19" x14ac:dyDescent="0.3">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row>
    <row r="707" spans="1:19" x14ac:dyDescent="0.3">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row>
    <row r="708" spans="1:19" x14ac:dyDescent="0.3">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row>
    <row r="709" spans="1:19" x14ac:dyDescent="0.3">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row>
    <row r="710" spans="1:19" x14ac:dyDescent="0.3">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row>
    <row r="711" spans="1:19" x14ac:dyDescent="0.3">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row>
    <row r="712" spans="1:19" x14ac:dyDescent="0.3">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row>
    <row r="713" spans="1:19" x14ac:dyDescent="0.3">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row>
    <row r="714" spans="1:19" x14ac:dyDescent="0.3">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row>
    <row r="715" spans="1:19" x14ac:dyDescent="0.3">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row>
    <row r="716" spans="1:19" x14ac:dyDescent="0.3">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row>
    <row r="717" spans="1:19" x14ac:dyDescent="0.3">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row>
    <row r="718" spans="1:19" x14ac:dyDescent="0.3">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row>
    <row r="719" spans="1:19" x14ac:dyDescent="0.3">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row>
    <row r="720" spans="1:19" x14ac:dyDescent="0.3">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row>
    <row r="721" spans="1:19" x14ac:dyDescent="0.3">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row>
    <row r="722" spans="1:19" x14ac:dyDescent="0.3">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row>
    <row r="723" spans="1:19" x14ac:dyDescent="0.3">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row>
    <row r="724" spans="1:19" x14ac:dyDescent="0.3">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row>
    <row r="725" spans="1:19" x14ac:dyDescent="0.3">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row>
    <row r="726" spans="1:19" x14ac:dyDescent="0.3">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row>
    <row r="727" spans="1:19" x14ac:dyDescent="0.3">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row>
    <row r="728" spans="1:19" x14ac:dyDescent="0.3">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row>
    <row r="729" spans="1:19" x14ac:dyDescent="0.3">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row>
    <row r="730" spans="1:19" x14ac:dyDescent="0.3">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row>
    <row r="731" spans="1:19" x14ac:dyDescent="0.3">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row>
    <row r="732" spans="1:19" x14ac:dyDescent="0.3">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row>
    <row r="733" spans="1:19" x14ac:dyDescent="0.3">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row>
    <row r="734" spans="1:19" x14ac:dyDescent="0.3">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row>
    <row r="735" spans="1:19" x14ac:dyDescent="0.3">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row>
    <row r="736" spans="1:19" x14ac:dyDescent="0.3">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row>
    <row r="737" spans="1:19" x14ac:dyDescent="0.3">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row>
    <row r="738" spans="1:19" x14ac:dyDescent="0.3">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row>
    <row r="739" spans="1:19" x14ac:dyDescent="0.3">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row>
    <row r="740" spans="1:19" x14ac:dyDescent="0.3">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row>
    <row r="741" spans="1:19" x14ac:dyDescent="0.3">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row>
    <row r="742" spans="1:19" x14ac:dyDescent="0.3">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row>
    <row r="743" spans="1:19" x14ac:dyDescent="0.3">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row>
    <row r="744" spans="1:19" x14ac:dyDescent="0.3">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row>
    <row r="745" spans="1:19" x14ac:dyDescent="0.3">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row>
    <row r="746" spans="1:19" x14ac:dyDescent="0.3">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row>
    <row r="747" spans="1:19" x14ac:dyDescent="0.3">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row>
    <row r="748" spans="1:19" x14ac:dyDescent="0.3">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row>
    <row r="749" spans="1:19" x14ac:dyDescent="0.3">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row>
    <row r="750" spans="1:19" x14ac:dyDescent="0.3">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row>
    <row r="751" spans="1:19" x14ac:dyDescent="0.3">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row>
    <row r="752" spans="1:19" x14ac:dyDescent="0.3">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row>
    <row r="753" spans="1:19" x14ac:dyDescent="0.3">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row>
    <row r="754" spans="1:19" x14ac:dyDescent="0.3">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row>
    <row r="755" spans="1:19" x14ac:dyDescent="0.3">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row>
    <row r="756" spans="1:19" x14ac:dyDescent="0.3">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row>
    <row r="757" spans="1:19" x14ac:dyDescent="0.3">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row>
    <row r="758" spans="1:19" x14ac:dyDescent="0.3">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row>
    <row r="759" spans="1:19" x14ac:dyDescent="0.3">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row>
    <row r="760" spans="1:19" x14ac:dyDescent="0.3">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row>
    <row r="761" spans="1:19" x14ac:dyDescent="0.3">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row>
    <row r="762" spans="1:19" x14ac:dyDescent="0.3">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row>
    <row r="763" spans="1:19" x14ac:dyDescent="0.3">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row>
    <row r="764" spans="1:19" x14ac:dyDescent="0.3">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row>
    <row r="765" spans="1:19" x14ac:dyDescent="0.3">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row>
    <row r="766" spans="1:19" x14ac:dyDescent="0.3">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row>
    <row r="767" spans="1:19" x14ac:dyDescent="0.3">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row>
    <row r="768" spans="1:19" x14ac:dyDescent="0.3">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row>
    <row r="769" spans="1:19" x14ac:dyDescent="0.3">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row>
    <row r="770" spans="1:19" x14ac:dyDescent="0.3">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row>
    <row r="771" spans="1:19" x14ac:dyDescent="0.3">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row>
    <row r="772" spans="1:19" x14ac:dyDescent="0.3">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row>
    <row r="773" spans="1:19" x14ac:dyDescent="0.3">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row>
    <row r="774" spans="1:19" x14ac:dyDescent="0.3">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row>
    <row r="775" spans="1:19" x14ac:dyDescent="0.3">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row>
    <row r="776" spans="1:19" x14ac:dyDescent="0.3">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row>
    <row r="777" spans="1:19" x14ac:dyDescent="0.3">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row>
    <row r="778" spans="1:19" x14ac:dyDescent="0.3">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row>
    <row r="779" spans="1:19" x14ac:dyDescent="0.3">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row>
    <row r="780" spans="1:19" x14ac:dyDescent="0.3">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row>
    <row r="781" spans="1:19" x14ac:dyDescent="0.3">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row>
    <row r="782" spans="1:19" x14ac:dyDescent="0.3">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row>
    <row r="783" spans="1:19" x14ac:dyDescent="0.3">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row>
    <row r="784" spans="1:19" x14ac:dyDescent="0.3">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row>
    <row r="785" spans="1:19" x14ac:dyDescent="0.3">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row>
    <row r="786" spans="1:19" x14ac:dyDescent="0.3">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row>
    <row r="787" spans="1:19" x14ac:dyDescent="0.3">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row>
    <row r="788" spans="1:19" x14ac:dyDescent="0.3">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row>
    <row r="789" spans="1:19" x14ac:dyDescent="0.3">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row>
    <row r="790" spans="1:19" x14ac:dyDescent="0.3">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row>
    <row r="791" spans="1:19" x14ac:dyDescent="0.3">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row>
    <row r="792" spans="1:19" x14ac:dyDescent="0.3">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row>
    <row r="793" spans="1:19" x14ac:dyDescent="0.3">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row>
    <row r="794" spans="1:19" x14ac:dyDescent="0.3">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row>
    <row r="795" spans="1:19" x14ac:dyDescent="0.3">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row>
    <row r="796" spans="1:19" x14ac:dyDescent="0.3">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row>
    <row r="797" spans="1:19" x14ac:dyDescent="0.3">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row>
    <row r="798" spans="1:19" x14ac:dyDescent="0.3">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row>
    <row r="799" spans="1:19" x14ac:dyDescent="0.3">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row>
    <row r="800" spans="1:19" x14ac:dyDescent="0.3">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row>
    <row r="801" spans="1:19" x14ac:dyDescent="0.3">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row>
    <row r="802" spans="1:19" x14ac:dyDescent="0.3">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row>
    <row r="803" spans="1:19" x14ac:dyDescent="0.3">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row>
    <row r="804" spans="1:19" x14ac:dyDescent="0.3">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row>
    <row r="805" spans="1:19" x14ac:dyDescent="0.3">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row>
    <row r="806" spans="1:19" x14ac:dyDescent="0.3">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row>
    <row r="807" spans="1:19" x14ac:dyDescent="0.3">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row>
    <row r="808" spans="1:19" x14ac:dyDescent="0.3">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row>
    <row r="809" spans="1:19" x14ac:dyDescent="0.3">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row>
    <row r="810" spans="1:19" x14ac:dyDescent="0.3">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row>
    <row r="811" spans="1:19" x14ac:dyDescent="0.3">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row>
    <row r="812" spans="1:19" x14ac:dyDescent="0.3">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row>
    <row r="813" spans="1:19" x14ac:dyDescent="0.3">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row>
    <row r="814" spans="1:19" x14ac:dyDescent="0.3">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row>
    <row r="815" spans="1:19" x14ac:dyDescent="0.3">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row>
    <row r="816" spans="1:19" x14ac:dyDescent="0.3">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row>
    <row r="817" spans="1:19" x14ac:dyDescent="0.3">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row>
    <row r="818" spans="1:19" x14ac:dyDescent="0.3">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row>
    <row r="819" spans="1:19" x14ac:dyDescent="0.3">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row>
    <row r="820" spans="1:19" x14ac:dyDescent="0.3">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row>
    <row r="821" spans="1:19" x14ac:dyDescent="0.3">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row>
    <row r="822" spans="1:19" x14ac:dyDescent="0.3">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row>
    <row r="823" spans="1:19" x14ac:dyDescent="0.3">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row>
    <row r="824" spans="1:19" x14ac:dyDescent="0.3">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row>
    <row r="825" spans="1:19" x14ac:dyDescent="0.3">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row>
    <row r="826" spans="1:19" x14ac:dyDescent="0.3">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row>
    <row r="827" spans="1:19" x14ac:dyDescent="0.3">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row>
    <row r="828" spans="1:19" x14ac:dyDescent="0.3">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row>
    <row r="829" spans="1:19" x14ac:dyDescent="0.3">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row>
    <row r="830" spans="1:19" x14ac:dyDescent="0.3">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row>
    <row r="831" spans="1:19" x14ac:dyDescent="0.3">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row>
    <row r="832" spans="1:19" x14ac:dyDescent="0.3">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row>
    <row r="833" spans="1:19" x14ac:dyDescent="0.3">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row>
    <row r="834" spans="1:19" x14ac:dyDescent="0.3">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row>
    <row r="835" spans="1:19" x14ac:dyDescent="0.3">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row>
    <row r="836" spans="1:19" x14ac:dyDescent="0.3">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row>
    <row r="837" spans="1:19" x14ac:dyDescent="0.3">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row>
    <row r="838" spans="1:19" x14ac:dyDescent="0.3">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row>
    <row r="839" spans="1:19" x14ac:dyDescent="0.3">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row>
    <row r="840" spans="1:19" x14ac:dyDescent="0.3">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row>
    <row r="841" spans="1:19" x14ac:dyDescent="0.3">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row>
    <row r="842" spans="1:19" x14ac:dyDescent="0.3">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row>
    <row r="843" spans="1:19" x14ac:dyDescent="0.3">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row>
    <row r="844" spans="1:19" x14ac:dyDescent="0.3">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row>
    <row r="845" spans="1:19" x14ac:dyDescent="0.3">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row>
    <row r="846" spans="1:19" x14ac:dyDescent="0.3">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row>
    <row r="847" spans="1:19" x14ac:dyDescent="0.3">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row>
    <row r="848" spans="1:19" x14ac:dyDescent="0.3">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row>
    <row r="849" spans="1:19" x14ac:dyDescent="0.3">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row>
    <row r="850" spans="1:19" x14ac:dyDescent="0.3">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row>
    <row r="851" spans="1:19" x14ac:dyDescent="0.3">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row>
    <row r="852" spans="1:19" x14ac:dyDescent="0.3">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row>
    <row r="853" spans="1:19" x14ac:dyDescent="0.3">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row>
    <row r="854" spans="1:19" x14ac:dyDescent="0.3">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row>
    <row r="855" spans="1:19" x14ac:dyDescent="0.3">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row>
    <row r="856" spans="1:19" x14ac:dyDescent="0.3">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row>
    <row r="857" spans="1:19" x14ac:dyDescent="0.3">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row>
    <row r="858" spans="1:19" x14ac:dyDescent="0.3">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row>
    <row r="859" spans="1:19" x14ac:dyDescent="0.3">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row>
    <row r="860" spans="1:19" x14ac:dyDescent="0.3">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row>
    <row r="861" spans="1:19" x14ac:dyDescent="0.3">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row>
    <row r="862" spans="1:19" x14ac:dyDescent="0.3">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row>
    <row r="863" spans="1:19" x14ac:dyDescent="0.3">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row>
    <row r="864" spans="1:19" x14ac:dyDescent="0.3">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row>
    <row r="865" spans="1:19" x14ac:dyDescent="0.3">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row>
    <row r="866" spans="1:19" x14ac:dyDescent="0.3">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row>
    <row r="867" spans="1:19" x14ac:dyDescent="0.3">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row>
    <row r="868" spans="1:19" x14ac:dyDescent="0.3">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row>
    <row r="869" spans="1:19" x14ac:dyDescent="0.3">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row>
    <row r="870" spans="1:19" x14ac:dyDescent="0.3">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row>
    <row r="871" spans="1:19" x14ac:dyDescent="0.3">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row>
    <row r="872" spans="1:19" x14ac:dyDescent="0.3">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row>
    <row r="873" spans="1:19" x14ac:dyDescent="0.3">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row>
    <row r="874" spans="1:19" x14ac:dyDescent="0.3">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row>
    <row r="875" spans="1:19" x14ac:dyDescent="0.3">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row>
    <row r="876" spans="1:19" x14ac:dyDescent="0.3">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row>
    <row r="877" spans="1:19" x14ac:dyDescent="0.3">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row>
    <row r="878" spans="1:19" x14ac:dyDescent="0.3">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row>
    <row r="879" spans="1:19" x14ac:dyDescent="0.3">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row>
    <row r="880" spans="1:19" x14ac:dyDescent="0.3">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row>
    <row r="881" spans="1:19" x14ac:dyDescent="0.3">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row>
    <row r="882" spans="1:19" x14ac:dyDescent="0.3">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row>
    <row r="883" spans="1:19" x14ac:dyDescent="0.3">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row>
    <row r="884" spans="1:19" x14ac:dyDescent="0.3">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row>
    <row r="885" spans="1:19" x14ac:dyDescent="0.3">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row>
    <row r="886" spans="1:19" x14ac:dyDescent="0.3">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row>
    <row r="887" spans="1:19" x14ac:dyDescent="0.3">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row>
    <row r="888" spans="1:19" x14ac:dyDescent="0.3">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row>
    <row r="889" spans="1:19" x14ac:dyDescent="0.3">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row>
    <row r="890" spans="1:19" x14ac:dyDescent="0.3">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row>
    <row r="891" spans="1:19" x14ac:dyDescent="0.3">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row>
    <row r="892" spans="1:19" x14ac:dyDescent="0.3">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row>
    <row r="893" spans="1:19" x14ac:dyDescent="0.3">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row>
    <row r="894" spans="1:19" x14ac:dyDescent="0.3">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row>
    <row r="895" spans="1:19" x14ac:dyDescent="0.3">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row>
    <row r="896" spans="1:19" x14ac:dyDescent="0.3">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row>
    <row r="897" spans="1:19" x14ac:dyDescent="0.3">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row>
    <row r="898" spans="1:19" x14ac:dyDescent="0.3">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row>
    <row r="899" spans="1:19" x14ac:dyDescent="0.3">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row>
    <row r="900" spans="1:19" x14ac:dyDescent="0.3">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row>
    <row r="901" spans="1:19" x14ac:dyDescent="0.3">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row>
    <row r="902" spans="1:19" x14ac:dyDescent="0.3">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row>
    <row r="903" spans="1:19" x14ac:dyDescent="0.3">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row>
    <row r="904" spans="1:19" x14ac:dyDescent="0.3">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row>
    <row r="905" spans="1:19" x14ac:dyDescent="0.3">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row>
    <row r="906" spans="1:19" x14ac:dyDescent="0.3">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row>
    <row r="907" spans="1:19" x14ac:dyDescent="0.3">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row>
    <row r="908" spans="1:19" x14ac:dyDescent="0.3">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row>
    <row r="909" spans="1:19" x14ac:dyDescent="0.3">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row>
    <row r="910" spans="1:19" x14ac:dyDescent="0.3">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row>
    <row r="911" spans="1:19" x14ac:dyDescent="0.3">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row>
    <row r="912" spans="1:19" x14ac:dyDescent="0.3">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row>
    <row r="913" spans="1:19" x14ac:dyDescent="0.3">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row>
    <row r="914" spans="1:19" x14ac:dyDescent="0.3">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row>
    <row r="915" spans="1:19" x14ac:dyDescent="0.3">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row>
    <row r="916" spans="1:19" x14ac:dyDescent="0.3">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row>
    <row r="917" spans="1:19" x14ac:dyDescent="0.3">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row>
    <row r="918" spans="1:19" x14ac:dyDescent="0.3">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row>
    <row r="919" spans="1:19" x14ac:dyDescent="0.3">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row>
    <row r="920" spans="1:19" x14ac:dyDescent="0.3">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row>
    <row r="921" spans="1:19" x14ac:dyDescent="0.3">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row>
    <row r="922" spans="1:19" x14ac:dyDescent="0.3">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row>
    <row r="923" spans="1:19" x14ac:dyDescent="0.3">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row>
    <row r="924" spans="1:19" x14ac:dyDescent="0.3">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row>
    <row r="925" spans="1:19" x14ac:dyDescent="0.3">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row>
    <row r="926" spans="1:19" x14ac:dyDescent="0.3">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row>
    <row r="927" spans="1:19" x14ac:dyDescent="0.3">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row>
    <row r="928" spans="1:19" x14ac:dyDescent="0.3">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row>
    <row r="929" spans="1:19" x14ac:dyDescent="0.3">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row>
    <row r="930" spans="1:19" x14ac:dyDescent="0.3">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row>
    <row r="931" spans="1:19" x14ac:dyDescent="0.3">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row>
    <row r="932" spans="1:19" x14ac:dyDescent="0.3">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row>
    <row r="933" spans="1:19" x14ac:dyDescent="0.3">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row>
    <row r="934" spans="1:19" x14ac:dyDescent="0.3">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row>
    <row r="935" spans="1:19" x14ac:dyDescent="0.3">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row>
    <row r="936" spans="1:19" x14ac:dyDescent="0.3">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row>
    <row r="937" spans="1:19" x14ac:dyDescent="0.3">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row>
    <row r="938" spans="1:19" x14ac:dyDescent="0.3">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row>
    <row r="939" spans="1:19" x14ac:dyDescent="0.3">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row>
    <row r="940" spans="1:19" x14ac:dyDescent="0.3">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row>
    <row r="941" spans="1:19" x14ac:dyDescent="0.3">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row>
    <row r="942" spans="1:19" x14ac:dyDescent="0.3">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row>
    <row r="943" spans="1:19" x14ac:dyDescent="0.3">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row>
    <row r="944" spans="1:19" x14ac:dyDescent="0.3">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row>
    <row r="945" spans="1:19" x14ac:dyDescent="0.3">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row>
    <row r="946" spans="1:19" x14ac:dyDescent="0.3">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row>
    <row r="947" spans="1:19" x14ac:dyDescent="0.3">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row>
    <row r="948" spans="1:19" x14ac:dyDescent="0.3">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row>
    <row r="949" spans="1:19" x14ac:dyDescent="0.3">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row>
    <row r="950" spans="1:19" x14ac:dyDescent="0.3">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row>
    <row r="951" spans="1:19" x14ac:dyDescent="0.3">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row>
    <row r="952" spans="1:19" x14ac:dyDescent="0.3">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row>
    <row r="953" spans="1:19" x14ac:dyDescent="0.3">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row>
    <row r="954" spans="1:19" x14ac:dyDescent="0.3">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row>
    <row r="955" spans="1:19" x14ac:dyDescent="0.3">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row>
    <row r="956" spans="1:19" x14ac:dyDescent="0.3">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row>
    <row r="957" spans="1:19" x14ac:dyDescent="0.3">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row>
    <row r="958" spans="1:19" x14ac:dyDescent="0.3">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row>
    <row r="959" spans="1:19" x14ac:dyDescent="0.3">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row>
    <row r="960" spans="1:19" x14ac:dyDescent="0.3">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row>
    <row r="961" spans="1:19" x14ac:dyDescent="0.3">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row>
    <row r="962" spans="1:19" x14ac:dyDescent="0.3">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row>
    <row r="963" spans="1:19" x14ac:dyDescent="0.3">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row>
    <row r="964" spans="1:19" x14ac:dyDescent="0.3">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row>
    <row r="965" spans="1:19" x14ac:dyDescent="0.3">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row>
    <row r="966" spans="1:19" x14ac:dyDescent="0.3">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row>
    <row r="967" spans="1:19" x14ac:dyDescent="0.3">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row>
    <row r="968" spans="1:19" x14ac:dyDescent="0.3">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row>
    <row r="969" spans="1:19" x14ac:dyDescent="0.3">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row>
    <row r="970" spans="1:19" x14ac:dyDescent="0.3">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row>
    <row r="971" spans="1:19" x14ac:dyDescent="0.3">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row>
    <row r="972" spans="1:19" x14ac:dyDescent="0.3">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row>
    <row r="973" spans="1:19" x14ac:dyDescent="0.3">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row>
    <row r="974" spans="1:19" x14ac:dyDescent="0.3">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row>
    <row r="975" spans="1:19" x14ac:dyDescent="0.3">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row>
    <row r="976" spans="1:19" x14ac:dyDescent="0.3">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row>
    <row r="977" spans="1:19" x14ac:dyDescent="0.3">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row>
    <row r="978" spans="1:19" x14ac:dyDescent="0.3">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row>
    <row r="979" spans="1:19" x14ac:dyDescent="0.3">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row>
    <row r="980" spans="1:19" x14ac:dyDescent="0.3">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row>
    <row r="981" spans="1:19" x14ac:dyDescent="0.3">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row>
    <row r="982" spans="1:19" x14ac:dyDescent="0.3">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row>
    <row r="983" spans="1:19" x14ac:dyDescent="0.3">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row>
    <row r="984" spans="1:19" x14ac:dyDescent="0.3">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row>
    <row r="985" spans="1:19" x14ac:dyDescent="0.3">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row>
    <row r="986" spans="1:19" x14ac:dyDescent="0.3">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row>
    <row r="987" spans="1:19" x14ac:dyDescent="0.3">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row>
    <row r="988" spans="1:19" x14ac:dyDescent="0.3">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row>
    <row r="989" spans="1:19" x14ac:dyDescent="0.3">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row>
    <row r="990" spans="1:19" x14ac:dyDescent="0.3">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row>
    <row r="991" spans="1:19" x14ac:dyDescent="0.3">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row>
    <row r="992" spans="1:19" x14ac:dyDescent="0.3">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row>
    <row r="993" spans="1:19" x14ac:dyDescent="0.3">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row>
    <row r="994" spans="1:19" x14ac:dyDescent="0.3">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row>
    <row r="995" spans="1:19" x14ac:dyDescent="0.3">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row>
    <row r="996" spans="1:19" x14ac:dyDescent="0.3">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row>
    <row r="997" spans="1:19" x14ac:dyDescent="0.3">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row>
    <row r="998" spans="1:19" x14ac:dyDescent="0.3">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row>
    <row r="999" spans="1:19" x14ac:dyDescent="0.3">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row>
    <row r="1000" spans="1:19" x14ac:dyDescent="0.3">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row>
    <row r="1001" spans="1:19" x14ac:dyDescent="0.3">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row>
    <row r="1002" spans="1:19" x14ac:dyDescent="0.3">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row>
    <row r="1003" spans="1:19" x14ac:dyDescent="0.3">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row>
    <row r="1004" spans="1:19" x14ac:dyDescent="0.3">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row>
    <row r="1005" spans="1:19" x14ac:dyDescent="0.3">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row>
    <row r="1006" spans="1:19" x14ac:dyDescent="0.3">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row>
    <row r="1007" spans="1:19" x14ac:dyDescent="0.3">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row>
    <row r="1008" spans="1:19" x14ac:dyDescent="0.3">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row>
    <row r="1009" spans="1:19" x14ac:dyDescent="0.3">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row>
    <row r="1010" spans="1:19" x14ac:dyDescent="0.3">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row>
    <row r="1011" spans="1:19" x14ac:dyDescent="0.3">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row>
    <row r="1012" spans="1:19" x14ac:dyDescent="0.3">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row>
    <row r="1013" spans="1:19" x14ac:dyDescent="0.3">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row>
    <row r="1014" spans="1:19" x14ac:dyDescent="0.3">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row>
    <row r="1015" spans="1:19" x14ac:dyDescent="0.3">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row>
    <row r="1016" spans="1:19" x14ac:dyDescent="0.3">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row>
    <row r="1017" spans="1:19" x14ac:dyDescent="0.3">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row>
    <row r="1018" spans="1:19" x14ac:dyDescent="0.3">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row>
    <row r="1019" spans="1:19" x14ac:dyDescent="0.3">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row>
    <row r="1020" spans="1:19" x14ac:dyDescent="0.3">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row>
    <row r="1021" spans="1:19" x14ac:dyDescent="0.3">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row>
    <row r="1022" spans="1:19" x14ac:dyDescent="0.3">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row>
    <row r="1023" spans="1:19" x14ac:dyDescent="0.3">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row>
    <row r="1024" spans="1:19" x14ac:dyDescent="0.3">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row>
    <row r="1025" spans="1:19" x14ac:dyDescent="0.3">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row>
    <row r="1026" spans="1:19" x14ac:dyDescent="0.3">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row>
    <row r="1027" spans="1:19" x14ac:dyDescent="0.3">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row>
    <row r="1028" spans="1:19" x14ac:dyDescent="0.3">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row>
    <row r="1029" spans="1:19" x14ac:dyDescent="0.3">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row>
    <row r="1030" spans="1:19" x14ac:dyDescent="0.3">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row>
    <row r="1031" spans="1:19" x14ac:dyDescent="0.3">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row>
    <row r="1032" spans="1:19" x14ac:dyDescent="0.3">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row>
    <row r="1033" spans="1:19" x14ac:dyDescent="0.3">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row>
    <row r="1034" spans="1:19" x14ac:dyDescent="0.3">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row>
    <row r="1035" spans="1:19" x14ac:dyDescent="0.3">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row>
    <row r="1036" spans="1:19" x14ac:dyDescent="0.3">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row>
    <row r="1037" spans="1:19" x14ac:dyDescent="0.3">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row>
    <row r="1038" spans="1:19" x14ac:dyDescent="0.3">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row>
    <row r="1039" spans="1:19" x14ac:dyDescent="0.3">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row>
    <row r="1040" spans="1:19" x14ac:dyDescent="0.3">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row>
    <row r="1041" spans="1:19" x14ac:dyDescent="0.3">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row>
    <row r="1042" spans="1:19" x14ac:dyDescent="0.3">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row>
    <row r="1043" spans="1:19" x14ac:dyDescent="0.3">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row>
    <row r="1044" spans="1:19" x14ac:dyDescent="0.3">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row>
    <row r="1045" spans="1:19" x14ac:dyDescent="0.3">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row>
    <row r="1046" spans="1:19" x14ac:dyDescent="0.3">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row>
    <row r="1047" spans="1:19" x14ac:dyDescent="0.3">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row>
    <row r="1048" spans="1:19" x14ac:dyDescent="0.3">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row>
    <row r="1049" spans="1:19" x14ac:dyDescent="0.3">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row>
    <row r="1050" spans="1:19" x14ac:dyDescent="0.3">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row>
    <row r="1051" spans="1:19" x14ac:dyDescent="0.3">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row>
    <row r="1052" spans="1:19" x14ac:dyDescent="0.3">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row>
    <row r="1053" spans="1:19" x14ac:dyDescent="0.3">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row>
    <row r="1054" spans="1:19" x14ac:dyDescent="0.3">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row>
    <row r="1055" spans="1:19" x14ac:dyDescent="0.3">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row>
    <row r="1056" spans="1:19" x14ac:dyDescent="0.3">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row>
    <row r="1057" spans="1:19" x14ac:dyDescent="0.3">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row>
    <row r="1058" spans="1:19" x14ac:dyDescent="0.3">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row>
    <row r="1059" spans="1:19" x14ac:dyDescent="0.3">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row>
    <row r="1060" spans="1:19" x14ac:dyDescent="0.3">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row>
    <row r="1061" spans="1:19" x14ac:dyDescent="0.3">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row>
    <row r="1062" spans="1:19" x14ac:dyDescent="0.3">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row>
    <row r="1063" spans="1:19" x14ac:dyDescent="0.3">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row>
    <row r="1064" spans="1:19" x14ac:dyDescent="0.3">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row>
    <row r="1065" spans="1:19" x14ac:dyDescent="0.3">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row>
    <row r="1066" spans="1:19" x14ac:dyDescent="0.3">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row>
    <row r="1067" spans="1:19" x14ac:dyDescent="0.3">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row>
    <row r="1068" spans="1:19" x14ac:dyDescent="0.3">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row>
    <row r="1069" spans="1:19" x14ac:dyDescent="0.3">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row>
    <row r="1070" spans="1:19" x14ac:dyDescent="0.3">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row>
    <row r="1071" spans="1:19" x14ac:dyDescent="0.3">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row>
    <row r="1072" spans="1:19" x14ac:dyDescent="0.3">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row>
    <row r="1073" spans="1:19" x14ac:dyDescent="0.3">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row>
    <row r="1074" spans="1:19" x14ac:dyDescent="0.3">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row>
    <row r="1075" spans="1:19" x14ac:dyDescent="0.3">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row>
    <row r="1076" spans="1:19" x14ac:dyDescent="0.3">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row>
    <row r="1077" spans="1:19" x14ac:dyDescent="0.3">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row>
    <row r="1078" spans="1:19" x14ac:dyDescent="0.3">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row>
    <row r="1079" spans="1:19" x14ac:dyDescent="0.3">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row>
    <row r="1080" spans="1:19" x14ac:dyDescent="0.3">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row>
    <row r="1081" spans="1:19" x14ac:dyDescent="0.3">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row>
    <row r="1082" spans="1:19" x14ac:dyDescent="0.3">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row>
    <row r="1083" spans="1:19" x14ac:dyDescent="0.3">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row>
    <row r="1084" spans="1:19" x14ac:dyDescent="0.3">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row>
    <row r="1085" spans="1:19" x14ac:dyDescent="0.3">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row>
    <row r="1086" spans="1:19" x14ac:dyDescent="0.3">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row>
    <row r="1087" spans="1:19" x14ac:dyDescent="0.3">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row>
    <row r="1088" spans="1:19" x14ac:dyDescent="0.3">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row>
    <row r="1089" spans="1:19" x14ac:dyDescent="0.3">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row>
    <row r="1090" spans="1:19" x14ac:dyDescent="0.3">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row>
    <row r="1091" spans="1:19" x14ac:dyDescent="0.3">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row>
    <row r="1092" spans="1:19" x14ac:dyDescent="0.3">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row>
    <row r="1093" spans="1:19" x14ac:dyDescent="0.3">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row>
    <row r="1094" spans="1:19" x14ac:dyDescent="0.3">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row>
    <row r="1095" spans="1:19" x14ac:dyDescent="0.3">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row>
    <row r="1096" spans="1:19" x14ac:dyDescent="0.3">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row>
    <row r="1097" spans="1:19" x14ac:dyDescent="0.3">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row>
    <row r="1098" spans="1:19" x14ac:dyDescent="0.3">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row>
    <row r="1099" spans="1:19" x14ac:dyDescent="0.3">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row>
    <row r="1100" spans="1:19" x14ac:dyDescent="0.3">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row>
    <row r="1101" spans="1:19" x14ac:dyDescent="0.3">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row>
    <row r="1102" spans="1:19" x14ac:dyDescent="0.3">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row>
    <row r="1103" spans="1:19" x14ac:dyDescent="0.3">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row>
    <row r="1104" spans="1:19" x14ac:dyDescent="0.3">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row>
    <row r="1105" spans="1:19" x14ac:dyDescent="0.3">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row>
    <row r="1106" spans="1:19" x14ac:dyDescent="0.3">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row>
    <row r="1107" spans="1:19" x14ac:dyDescent="0.3">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row>
    <row r="1108" spans="1:19" x14ac:dyDescent="0.3">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row>
    <row r="1109" spans="1:19" x14ac:dyDescent="0.3">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row>
    <row r="1110" spans="1:19" x14ac:dyDescent="0.3">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row>
    <row r="1111" spans="1:19" x14ac:dyDescent="0.3">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row>
    <row r="1112" spans="1:19" x14ac:dyDescent="0.3">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row>
    <row r="1113" spans="1:19" x14ac:dyDescent="0.3">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row>
    <row r="1114" spans="1:19" x14ac:dyDescent="0.3">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row>
    <row r="1115" spans="1:19" x14ac:dyDescent="0.3">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row>
    <row r="1116" spans="1:19" x14ac:dyDescent="0.3">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row>
    <row r="1117" spans="1:19" x14ac:dyDescent="0.3">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row>
    <row r="1118" spans="1:19" x14ac:dyDescent="0.3">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row>
    <row r="1119" spans="1:19" x14ac:dyDescent="0.3">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row>
    <row r="1120" spans="1:19" x14ac:dyDescent="0.3">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row>
    <row r="1121" spans="1:19" x14ac:dyDescent="0.3">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row>
    <row r="1122" spans="1:19" x14ac:dyDescent="0.3">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row>
    <row r="1123" spans="1:19" x14ac:dyDescent="0.3">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row>
    <row r="1124" spans="1:19" x14ac:dyDescent="0.3">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row>
    <row r="1125" spans="1:19" x14ac:dyDescent="0.3">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row>
    <row r="1126" spans="1:19" x14ac:dyDescent="0.3">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row>
    <row r="1127" spans="1:19" x14ac:dyDescent="0.3">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row>
    <row r="1128" spans="1:19" x14ac:dyDescent="0.3">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row>
    <row r="1129" spans="1:19" x14ac:dyDescent="0.3">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row>
    <row r="1130" spans="1:19" x14ac:dyDescent="0.3">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row>
    <row r="1131" spans="1:19" x14ac:dyDescent="0.3">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row>
    <row r="1132" spans="1:19" x14ac:dyDescent="0.3">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row>
    <row r="1133" spans="1:19" x14ac:dyDescent="0.3">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row>
    <row r="1134" spans="1:19" x14ac:dyDescent="0.3">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row>
    <row r="1135" spans="1:19" x14ac:dyDescent="0.3">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row>
    <row r="1136" spans="1:19" x14ac:dyDescent="0.3">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row>
    <row r="1137" spans="1:19" x14ac:dyDescent="0.3">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row>
    <row r="1138" spans="1:19" x14ac:dyDescent="0.3">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row>
    <row r="1139" spans="1:19" x14ac:dyDescent="0.3">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row>
    <row r="1140" spans="1:19" x14ac:dyDescent="0.3">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row>
    <row r="1141" spans="1:19" x14ac:dyDescent="0.3">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row>
    <row r="1142" spans="1:19" x14ac:dyDescent="0.3">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row>
    <row r="1143" spans="1:19" x14ac:dyDescent="0.3">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row>
    <row r="1144" spans="1:19" x14ac:dyDescent="0.3">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row>
    <row r="1145" spans="1:19" x14ac:dyDescent="0.3">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row>
    <row r="1146" spans="1:19" x14ac:dyDescent="0.3">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row>
    <row r="1147" spans="1:19" x14ac:dyDescent="0.3">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row>
    <row r="1148" spans="1:19" x14ac:dyDescent="0.3">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row>
    <row r="1149" spans="1:19" x14ac:dyDescent="0.3">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row>
    <row r="1150" spans="1:19" x14ac:dyDescent="0.3">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row>
    <row r="1151" spans="1:19" x14ac:dyDescent="0.3">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row>
    <row r="1152" spans="1:19" x14ac:dyDescent="0.3">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row>
    <row r="1153" spans="1:19" x14ac:dyDescent="0.3">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row>
    <row r="1154" spans="1:19" x14ac:dyDescent="0.3">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row>
    <row r="1155" spans="1:19" x14ac:dyDescent="0.3">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row>
    <row r="1156" spans="1:19" x14ac:dyDescent="0.3">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row>
    <row r="1157" spans="1:19" x14ac:dyDescent="0.3">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row>
    <row r="1158" spans="1:19" x14ac:dyDescent="0.3">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row>
    <row r="1159" spans="1:19" x14ac:dyDescent="0.3">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row>
    <row r="1160" spans="1:19" x14ac:dyDescent="0.3">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row>
    <row r="1161" spans="1:19" x14ac:dyDescent="0.3">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row>
    <row r="1162" spans="1:19" x14ac:dyDescent="0.3">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row>
    <row r="1163" spans="1:19" x14ac:dyDescent="0.3">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row>
    <row r="1164" spans="1:19" x14ac:dyDescent="0.3">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row>
    <row r="1165" spans="1:19" x14ac:dyDescent="0.3">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row>
    <row r="1166" spans="1:19" x14ac:dyDescent="0.3">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row>
    <row r="1167" spans="1:19" x14ac:dyDescent="0.3">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row>
    <row r="1168" spans="1:19" x14ac:dyDescent="0.3">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row>
    <row r="1169" spans="1:19" x14ac:dyDescent="0.3">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row>
    <row r="1170" spans="1:19" x14ac:dyDescent="0.3">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row>
    <row r="1171" spans="1:19" x14ac:dyDescent="0.3">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row>
    <row r="1172" spans="1:19" x14ac:dyDescent="0.3">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row>
    <row r="1173" spans="1:19" x14ac:dyDescent="0.3">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row>
    <row r="1174" spans="1:19" x14ac:dyDescent="0.3">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row>
    <row r="1175" spans="1:19" x14ac:dyDescent="0.3">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row>
    <row r="1176" spans="1:19" x14ac:dyDescent="0.3">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row>
    <row r="1177" spans="1:19" x14ac:dyDescent="0.3">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row>
    <row r="1178" spans="1:19" x14ac:dyDescent="0.3">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row>
    <row r="1179" spans="1:19" x14ac:dyDescent="0.3">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row>
    <row r="1180" spans="1:19" x14ac:dyDescent="0.3">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row>
    <row r="1181" spans="1:19" x14ac:dyDescent="0.3">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row>
    <row r="1182" spans="1:19" x14ac:dyDescent="0.3">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row>
    <row r="1183" spans="1:19" x14ac:dyDescent="0.3">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row>
    <row r="1184" spans="1:19" x14ac:dyDescent="0.3">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row>
    <row r="1185" spans="1:19" x14ac:dyDescent="0.3">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row>
    <row r="1186" spans="1:19" x14ac:dyDescent="0.3">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row>
    <row r="1187" spans="1:19" x14ac:dyDescent="0.3">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row>
    <row r="1188" spans="1:19" x14ac:dyDescent="0.3">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row>
    <row r="1189" spans="1:19" x14ac:dyDescent="0.3">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row>
    <row r="1190" spans="1:19" x14ac:dyDescent="0.3">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row>
    <row r="1191" spans="1:19" x14ac:dyDescent="0.3">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row>
    <row r="1192" spans="1:19" x14ac:dyDescent="0.3">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row>
    <row r="1193" spans="1:19" x14ac:dyDescent="0.3">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row>
    <row r="1194" spans="1:19" x14ac:dyDescent="0.3">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row>
    <row r="1195" spans="1:19" x14ac:dyDescent="0.3">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row>
    <row r="1196" spans="1:19" x14ac:dyDescent="0.3">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row>
    <row r="1197" spans="1:19" x14ac:dyDescent="0.3">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row>
    <row r="1198" spans="1:19" x14ac:dyDescent="0.3">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row>
    <row r="1199" spans="1:19" x14ac:dyDescent="0.3">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row>
    <row r="1200" spans="1:19" x14ac:dyDescent="0.3">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row>
    <row r="1201" spans="1:19" x14ac:dyDescent="0.3">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row>
    <row r="1202" spans="1:19" x14ac:dyDescent="0.3">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row>
    <row r="1203" spans="1:19" x14ac:dyDescent="0.3">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row>
    <row r="1204" spans="1:19" x14ac:dyDescent="0.3">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row>
    <row r="1205" spans="1:19" x14ac:dyDescent="0.3">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row>
    <row r="1206" spans="1:19" x14ac:dyDescent="0.3">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row>
    <row r="1207" spans="1:19" x14ac:dyDescent="0.3">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row>
    <row r="1208" spans="1:19" x14ac:dyDescent="0.3">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row>
    <row r="1209" spans="1:19" x14ac:dyDescent="0.3">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row>
    <row r="1210" spans="1:19" x14ac:dyDescent="0.3">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row>
    <row r="1211" spans="1:19" x14ac:dyDescent="0.3">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row>
    <row r="1212" spans="1:19" x14ac:dyDescent="0.3">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row>
    <row r="1213" spans="1:19" x14ac:dyDescent="0.3">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row>
    <row r="1214" spans="1:19" x14ac:dyDescent="0.3">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row>
    <row r="1215" spans="1:19" x14ac:dyDescent="0.3">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row>
    <row r="1216" spans="1:19" x14ac:dyDescent="0.3">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row>
    <row r="1217" spans="1:19" x14ac:dyDescent="0.3">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row>
    <row r="1218" spans="1:19" x14ac:dyDescent="0.3">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row>
    <row r="1219" spans="1:19" x14ac:dyDescent="0.3">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row>
    <row r="1220" spans="1:19" x14ac:dyDescent="0.3">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row>
    <row r="1221" spans="1:19" x14ac:dyDescent="0.3">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row>
    <row r="1222" spans="1:19" x14ac:dyDescent="0.3">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row>
    <row r="1223" spans="1:19" x14ac:dyDescent="0.3">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row>
    <row r="1224" spans="1:19" x14ac:dyDescent="0.3">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row>
    <row r="1225" spans="1:19" x14ac:dyDescent="0.3">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row>
    <row r="1226" spans="1:19" x14ac:dyDescent="0.3">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row>
    <row r="1227" spans="1:19" x14ac:dyDescent="0.3">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row>
    <row r="1228" spans="1:19" x14ac:dyDescent="0.3">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row>
    <row r="1229" spans="1:19" x14ac:dyDescent="0.3">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row>
    <row r="1230" spans="1:19" x14ac:dyDescent="0.3">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row>
    <row r="1231" spans="1:19" x14ac:dyDescent="0.3">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row>
    <row r="1232" spans="1:19" x14ac:dyDescent="0.3">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row>
    <row r="1233" spans="1:19" x14ac:dyDescent="0.3">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row>
    <row r="1234" spans="1:19" x14ac:dyDescent="0.3">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row>
    <row r="1235" spans="1:19" x14ac:dyDescent="0.3">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row>
    <row r="1236" spans="1:19" x14ac:dyDescent="0.3">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row>
    <row r="1237" spans="1:19" x14ac:dyDescent="0.3">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row>
    <row r="1238" spans="1:19" x14ac:dyDescent="0.3">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row>
    <row r="1239" spans="1:19" x14ac:dyDescent="0.3">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row>
    <row r="1240" spans="1:19" x14ac:dyDescent="0.3">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row>
    <row r="1241" spans="1:19" x14ac:dyDescent="0.3">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row>
    <row r="1242" spans="1:19" x14ac:dyDescent="0.3">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row>
    <row r="1243" spans="1:19" x14ac:dyDescent="0.3">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row>
    <row r="1244" spans="1:19" x14ac:dyDescent="0.3">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row>
    <row r="1245" spans="1:19" x14ac:dyDescent="0.3">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row>
    <row r="1246" spans="1:19" x14ac:dyDescent="0.3">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row>
    <row r="1247" spans="1:19" x14ac:dyDescent="0.3">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row>
    <row r="1248" spans="1:19" x14ac:dyDescent="0.3">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row>
    <row r="1249" spans="1:19" x14ac:dyDescent="0.3">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row>
    <row r="1250" spans="1:19" x14ac:dyDescent="0.3">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row>
    <row r="1251" spans="1:19" x14ac:dyDescent="0.3">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row>
    <row r="1252" spans="1:19" x14ac:dyDescent="0.3">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row>
    <row r="1253" spans="1:19" x14ac:dyDescent="0.3">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row>
    <row r="1254" spans="1:19" x14ac:dyDescent="0.3">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row>
    <row r="1255" spans="1:19" x14ac:dyDescent="0.3">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row>
    <row r="1256" spans="1:19" x14ac:dyDescent="0.3">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row>
    <row r="1257" spans="1:19" x14ac:dyDescent="0.3">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row>
    <row r="1258" spans="1:19" x14ac:dyDescent="0.3">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row>
    <row r="1259" spans="1:19" x14ac:dyDescent="0.3">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row>
    <row r="1260" spans="1:19" x14ac:dyDescent="0.3">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row>
    <row r="1261" spans="1:19" x14ac:dyDescent="0.3">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row>
    <row r="1262" spans="1:19" x14ac:dyDescent="0.3">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row>
    <row r="1263" spans="1:19" x14ac:dyDescent="0.3">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row>
    <row r="1264" spans="1:19" x14ac:dyDescent="0.3">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row>
    <row r="1265" spans="1:19" x14ac:dyDescent="0.3">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row>
    <row r="1266" spans="1:19" x14ac:dyDescent="0.3">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row>
    <row r="1267" spans="1:19" x14ac:dyDescent="0.3">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row>
    <row r="1268" spans="1:19" x14ac:dyDescent="0.3">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row>
    <row r="1269" spans="1:19" x14ac:dyDescent="0.3">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row>
    <row r="1270" spans="1:19" x14ac:dyDescent="0.3">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row>
    <row r="1271" spans="1:19" x14ac:dyDescent="0.3">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row>
    <row r="1272" spans="1:19" x14ac:dyDescent="0.3">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row>
    <row r="1273" spans="1:19" x14ac:dyDescent="0.3">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row>
    <row r="1274" spans="1:19" x14ac:dyDescent="0.3">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row>
    <row r="1275" spans="1:19" x14ac:dyDescent="0.3">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row>
    <row r="1276" spans="1:19" x14ac:dyDescent="0.3">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row>
    <row r="1277" spans="1:19" x14ac:dyDescent="0.3">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row>
    <row r="1278" spans="1:19" x14ac:dyDescent="0.3">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row>
    <row r="1279" spans="1:19" x14ac:dyDescent="0.3">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row>
    <row r="1280" spans="1:19" x14ac:dyDescent="0.3">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row>
    <row r="1281" spans="1:19" x14ac:dyDescent="0.3">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row>
    <row r="1282" spans="1:19" x14ac:dyDescent="0.3">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row>
    <row r="1283" spans="1:19" x14ac:dyDescent="0.3">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row>
    <row r="1284" spans="1:19" x14ac:dyDescent="0.3">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row>
    <row r="1285" spans="1:19" x14ac:dyDescent="0.3">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row>
    <row r="1286" spans="1:19" x14ac:dyDescent="0.3">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row>
    <row r="1287" spans="1:19" x14ac:dyDescent="0.3">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row>
    <row r="1288" spans="1:19" x14ac:dyDescent="0.3">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row>
    <row r="1289" spans="1:19" x14ac:dyDescent="0.3">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row>
    <row r="1290" spans="1:19" x14ac:dyDescent="0.3">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row>
    <row r="1291" spans="1:19" x14ac:dyDescent="0.3">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row>
    <row r="1292" spans="1:19" x14ac:dyDescent="0.3">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row>
    <row r="1293" spans="1:19" x14ac:dyDescent="0.3">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row>
    <row r="1294" spans="1:19" x14ac:dyDescent="0.3">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row>
    <row r="1295" spans="1:19" x14ac:dyDescent="0.3">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row>
    <row r="1296" spans="1:19" x14ac:dyDescent="0.3">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row>
    <row r="1297" spans="1:19" x14ac:dyDescent="0.3">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row>
    <row r="1298" spans="1:19" x14ac:dyDescent="0.3">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row>
    <row r="1299" spans="1:19" x14ac:dyDescent="0.3">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row>
    <row r="1300" spans="1:19" x14ac:dyDescent="0.3">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row>
    <row r="1301" spans="1:19" x14ac:dyDescent="0.3">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row>
    <row r="1302" spans="1:19" x14ac:dyDescent="0.3">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row>
    <row r="1303" spans="1:19" x14ac:dyDescent="0.3">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row>
    <row r="1304" spans="1:19" x14ac:dyDescent="0.3">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row>
    <row r="1305" spans="1:19" x14ac:dyDescent="0.3">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row>
    <row r="1306" spans="1:19" x14ac:dyDescent="0.3">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row>
    <row r="1307" spans="1:19" x14ac:dyDescent="0.3">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row>
    <row r="1308" spans="1:19" x14ac:dyDescent="0.3">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row>
    <row r="1309" spans="1:19" x14ac:dyDescent="0.3">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row>
    <row r="1310" spans="1:19" x14ac:dyDescent="0.3">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row>
    <row r="1311" spans="1:19" x14ac:dyDescent="0.3">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row>
    <row r="1312" spans="1:19" x14ac:dyDescent="0.3">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row>
    <row r="1313" spans="1:19" x14ac:dyDescent="0.3">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row>
    <row r="1314" spans="1:19" x14ac:dyDescent="0.3">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row>
    <row r="1315" spans="1:19" x14ac:dyDescent="0.3">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row>
    <row r="1316" spans="1:19" x14ac:dyDescent="0.3">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row>
    <row r="1317" spans="1:19" x14ac:dyDescent="0.3">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row>
    <row r="1318" spans="1:19" x14ac:dyDescent="0.3">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row>
    <row r="1319" spans="1:19" x14ac:dyDescent="0.3">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row>
    <row r="1320" spans="1:19" x14ac:dyDescent="0.3">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row>
    <row r="1321" spans="1:19" x14ac:dyDescent="0.3">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row>
    <row r="1322" spans="1:19" x14ac:dyDescent="0.3">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row>
    <row r="1323" spans="1:19" x14ac:dyDescent="0.3">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row>
    <row r="1324" spans="1:19" x14ac:dyDescent="0.3">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row>
    <row r="1325" spans="1:19" x14ac:dyDescent="0.3">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row>
    <row r="1326" spans="1:19" x14ac:dyDescent="0.3">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row>
    <row r="1327" spans="1:19" x14ac:dyDescent="0.3">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row>
    <row r="1328" spans="1:19" x14ac:dyDescent="0.3">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row>
    <row r="1329" spans="1:19" x14ac:dyDescent="0.3">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row>
    <row r="1330" spans="1:19" x14ac:dyDescent="0.3">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row>
    <row r="1331" spans="1:19" x14ac:dyDescent="0.3">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row>
    <row r="1332" spans="1:19" x14ac:dyDescent="0.3">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row>
    <row r="1333" spans="1:19" x14ac:dyDescent="0.3">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row>
    <row r="1334" spans="1:19" x14ac:dyDescent="0.3">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row>
    <row r="1335" spans="1:19" x14ac:dyDescent="0.3">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row>
    <row r="1336" spans="1:19" x14ac:dyDescent="0.3">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row>
    <row r="1337" spans="1:19" x14ac:dyDescent="0.3">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row>
    <row r="1338" spans="1:19" x14ac:dyDescent="0.3">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row>
    <row r="1339" spans="1:19" x14ac:dyDescent="0.3">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row>
    <row r="1340" spans="1:19" x14ac:dyDescent="0.3">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row>
    <row r="1341" spans="1:19" x14ac:dyDescent="0.3">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row>
    <row r="1342" spans="1:19" x14ac:dyDescent="0.3">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row>
    <row r="1343" spans="1:19" x14ac:dyDescent="0.3">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row>
    <row r="1344" spans="1:19" x14ac:dyDescent="0.3">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row>
    <row r="1345" spans="1:19" x14ac:dyDescent="0.3">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row>
    <row r="1346" spans="1:19" x14ac:dyDescent="0.3">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row>
    <row r="1347" spans="1:19" x14ac:dyDescent="0.3">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row>
    <row r="1348" spans="1:19" x14ac:dyDescent="0.3">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row>
    <row r="1349" spans="1:19" x14ac:dyDescent="0.3">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row>
    <row r="1350" spans="1:19" x14ac:dyDescent="0.3">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row>
    <row r="1351" spans="1:19" x14ac:dyDescent="0.3">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row>
    <row r="1352" spans="1:19" x14ac:dyDescent="0.3">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row>
    <row r="1353" spans="1:19" x14ac:dyDescent="0.3">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row>
    <row r="1354" spans="1:19" x14ac:dyDescent="0.3">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row>
    <row r="1355" spans="1:19" x14ac:dyDescent="0.3">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row>
    <row r="1356" spans="1:19" x14ac:dyDescent="0.3">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row>
    <row r="1357" spans="1:19" x14ac:dyDescent="0.3">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row>
    <row r="1358" spans="1:19" x14ac:dyDescent="0.3">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row>
    <row r="1359" spans="1:19" x14ac:dyDescent="0.3">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row>
    <row r="1360" spans="1:19" x14ac:dyDescent="0.3">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row>
    <row r="1361" spans="1:19" x14ac:dyDescent="0.3">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row>
    <row r="1362" spans="1:19" x14ac:dyDescent="0.3">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row>
    <row r="1363" spans="1:19" x14ac:dyDescent="0.3">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row>
    <row r="1364" spans="1:19" x14ac:dyDescent="0.3">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row>
    <row r="1365" spans="1:19" x14ac:dyDescent="0.3">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row>
    <row r="1366" spans="1:19" x14ac:dyDescent="0.3">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row>
    <row r="1367" spans="1:19" x14ac:dyDescent="0.3">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row>
    <row r="1368" spans="1:19" x14ac:dyDescent="0.3">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row>
    <row r="1369" spans="1:19" x14ac:dyDescent="0.3">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row>
    <row r="1370" spans="1:19" x14ac:dyDescent="0.3">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row>
    <row r="1371" spans="1:19" x14ac:dyDescent="0.3">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row>
    <row r="1372" spans="1:19" x14ac:dyDescent="0.3">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row>
    <row r="1373" spans="1:19" x14ac:dyDescent="0.3">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row>
    <row r="1374" spans="1:19" x14ac:dyDescent="0.3">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row>
    <row r="1375" spans="1:19" x14ac:dyDescent="0.3">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row>
    <row r="1376" spans="1:19" x14ac:dyDescent="0.3">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row>
    <row r="1377" spans="1:19" x14ac:dyDescent="0.3">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row>
    <row r="1378" spans="1:19" x14ac:dyDescent="0.3">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row>
    <row r="1379" spans="1:19" x14ac:dyDescent="0.3">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row>
    <row r="1380" spans="1:19" x14ac:dyDescent="0.3">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row>
    <row r="1381" spans="1:19" x14ac:dyDescent="0.3">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row>
    <row r="1382" spans="1:19" x14ac:dyDescent="0.3">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row>
    <row r="1383" spans="1:19" x14ac:dyDescent="0.3">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row>
    <row r="1384" spans="1:19" x14ac:dyDescent="0.3">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row>
    <row r="1385" spans="1:19" x14ac:dyDescent="0.3">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row>
    <row r="1386" spans="1:19" x14ac:dyDescent="0.3">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row>
    <row r="1387" spans="1:19" x14ac:dyDescent="0.3">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row>
    <row r="1388" spans="1:19" x14ac:dyDescent="0.3">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row>
    <row r="1389" spans="1:19" x14ac:dyDescent="0.3">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row>
    <row r="1390" spans="1:19" x14ac:dyDescent="0.3">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row>
    <row r="1391" spans="1:19" x14ac:dyDescent="0.3">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row>
    <row r="1392" spans="1:19" x14ac:dyDescent="0.3">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row>
    <row r="1393" spans="1:19" x14ac:dyDescent="0.3">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row>
    <row r="1394" spans="1:19" x14ac:dyDescent="0.3">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row>
    <row r="1395" spans="1:19" x14ac:dyDescent="0.3">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row>
    <row r="1396" spans="1:19" x14ac:dyDescent="0.3">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row>
    <row r="1397" spans="1:19" x14ac:dyDescent="0.3">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row>
    <row r="1398" spans="1:19" x14ac:dyDescent="0.3">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row>
    <row r="1399" spans="1:19" x14ac:dyDescent="0.3">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row>
    <row r="1400" spans="1:19" x14ac:dyDescent="0.3">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row>
    <row r="1401" spans="1:19" x14ac:dyDescent="0.3">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row>
    <row r="1402" spans="1:19" x14ac:dyDescent="0.3">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row>
    <row r="1403" spans="1:19" x14ac:dyDescent="0.3">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row>
    <row r="1404" spans="1:19" x14ac:dyDescent="0.3">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row>
    <row r="1405" spans="1:19" x14ac:dyDescent="0.3">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row>
    <row r="1406" spans="1:19" x14ac:dyDescent="0.3">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row>
    <row r="1407" spans="1:19" x14ac:dyDescent="0.3">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row>
    <row r="1408" spans="1:19" x14ac:dyDescent="0.3">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row>
    <row r="1409" spans="1:19" x14ac:dyDescent="0.3">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row>
    <row r="1410" spans="1:19" x14ac:dyDescent="0.3">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row>
    <row r="1411" spans="1:19" x14ac:dyDescent="0.3">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row>
    <row r="1412" spans="1:19" x14ac:dyDescent="0.3">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row>
    <row r="1413" spans="1:19" x14ac:dyDescent="0.3">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row>
    <row r="1414" spans="1:19" x14ac:dyDescent="0.3">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row>
    <row r="1415" spans="1:19" x14ac:dyDescent="0.3">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row>
    <row r="1416" spans="1:19" x14ac:dyDescent="0.3">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row>
    <row r="1417" spans="1:19" x14ac:dyDescent="0.3">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row>
    <row r="1418" spans="1:19" x14ac:dyDescent="0.3">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row>
    <row r="1419" spans="1:19" x14ac:dyDescent="0.3">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row>
    <row r="1420" spans="1:19" x14ac:dyDescent="0.3">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row>
    <row r="1421" spans="1:19" x14ac:dyDescent="0.3">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row>
    <row r="1422" spans="1:19" x14ac:dyDescent="0.3">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row>
    <row r="1423" spans="1:19" x14ac:dyDescent="0.3">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row>
    <row r="1424" spans="1:19" x14ac:dyDescent="0.3">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row>
    <row r="1425" spans="1:19" x14ac:dyDescent="0.3">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row>
    <row r="1426" spans="1:19" x14ac:dyDescent="0.3">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row>
    <row r="1427" spans="1:19" x14ac:dyDescent="0.3">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row>
    <row r="1428" spans="1:19" x14ac:dyDescent="0.3">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row>
    <row r="1429" spans="1:19" x14ac:dyDescent="0.3">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row>
    <row r="1430" spans="1:19" x14ac:dyDescent="0.3">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row>
    <row r="1431" spans="1:19" x14ac:dyDescent="0.3">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row>
    <row r="1432" spans="1:19" x14ac:dyDescent="0.3">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row>
    <row r="1433" spans="1:19" x14ac:dyDescent="0.3">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row>
    <row r="1434" spans="1:19" x14ac:dyDescent="0.3">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row>
    <row r="1435" spans="1:19" x14ac:dyDescent="0.3">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row>
    <row r="1436" spans="1:19" x14ac:dyDescent="0.3">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row>
    <row r="1437" spans="1:19" x14ac:dyDescent="0.3">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row>
    <row r="1438" spans="1:19" x14ac:dyDescent="0.3">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row>
    <row r="1439" spans="1:19" x14ac:dyDescent="0.3">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row>
    <row r="1440" spans="1:19" x14ac:dyDescent="0.3">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row>
    <row r="1441" spans="1:19" x14ac:dyDescent="0.3">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row>
    <row r="1442" spans="1:19" x14ac:dyDescent="0.3">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row>
    <row r="1443" spans="1:19" x14ac:dyDescent="0.3">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row>
    <row r="1444" spans="1:19" x14ac:dyDescent="0.3">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row>
    <row r="1445" spans="1:19" x14ac:dyDescent="0.3">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row>
    <row r="1446" spans="1:19" x14ac:dyDescent="0.3">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row>
    <row r="1447" spans="1:19" x14ac:dyDescent="0.3">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row>
    <row r="1448" spans="1:19" x14ac:dyDescent="0.3">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row>
    <row r="1449" spans="1:19" x14ac:dyDescent="0.3">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row>
    <row r="1450" spans="1:19" x14ac:dyDescent="0.3">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row>
    <row r="1451" spans="1:19" x14ac:dyDescent="0.3">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row>
    <row r="1452" spans="1:19" x14ac:dyDescent="0.3">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row>
    <row r="1453" spans="1:19" x14ac:dyDescent="0.3">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row>
    <row r="1454" spans="1:19" x14ac:dyDescent="0.3">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row>
    <row r="1455" spans="1:19" x14ac:dyDescent="0.3">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row>
    <row r="1456" spans="1:19" x14ac:dyDescent="0.3">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row>
    <row r="1457" spans="1:19" x14ac:dyDescent="0.3">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row>
    <row r="1458" spans="1:19" x14ac:dyDescent="0.3">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row>
    <row r="1459" spans="1:19" x14ac:dyDescent="0.3">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row>
    <row r="1460" spans="1:19" x14ac:dyDescent="0.3">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row>
    <row r="1461" spans="1:19" x14ac:dyDescent="0.3">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row>
    <row r="1462" spans="1:19" x14ac:dyDescent="0.3">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row>
    <row r="1463" spans="1:19" x14ac:dyDescent="0.3">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row>
    <row r="1464" spans="1:19" x14ac:dyDescent="0.3">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row>
    <row r="1465" spans="1:19" x14ac:dyDescent="0.3">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row>
    <row r="1466" spans="1:19" x14ac:dyDescent="0.3">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row>
    <row r="1467" spans="1:19" x14ac:dyDescent="0.3">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row>
    <row r="1468" spans="1:19" x14ac:dyDescent="0.3">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row>
    <row r="1469" spans="1:19" x14ac:dyDescent="0.3">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row>
    <row r="1470" spans="1:19" x14ac:dyDescent="0.3">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row>
    <row r="1471" spans="1:19" x14ac:dyDescent="0.3">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row>
    <row r="1472" spans="1:19" x14ac:dyDescent="0.3">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row>
    <row r="1473" spans="1:19" x14ac:dyDescent="0.3">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row>
    <row r="1474" spans="1:19" x14ac:dyDescent="0.3">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row>
    <row r="1475" spans="1:19" x14ac:dyDescent="0.3">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row>
    <row r="1476" spans="1:19" x14ac:dyDescent="0.3">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row>
    <row r="1477" spans="1:19" x14ac:dyDescent="0.3">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row>
    <row r="1478" spans="1:19" x14ac:dyDescent="0.3">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row>
    <row r="1479" spans="1:19" x14ac:dyDescent="0.3">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row>
    <row r="1480" spans="1:19" x14ac:dyDescent="0.3">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row>
    <row r="1481" spans="1:19" x14ac:dyDescent="0.3">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row>
    <row r="1482" spans="1:19" x14ac:dyDescent="0.3">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row>
    <row r="1483" spans="1:19" x14ac:dyDescent="0.3">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row>
    <row r="1484" spans="1:19" x14ac:dyDescent="0.3">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row>
    <row r="1485" spans="1:19" x14ac:dyDescent="0.3">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row>
    <row r="1486" spans="1:19" x14ac:dyDescent="0.3">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row>
    <row r="1487" spans="1:19" x14ac:dyDescent="0.3">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row>
    <row r="1488" spans="1:19" x14ac:dyDescent="0.3">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row>
    <row r="1489" spans="1:19" x14ac:dyDescent="0.3">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row>
    <row r="1490" spans="1:19" x14ac:dyDescent="0.3">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row>
    <row r="1491" spans="1:19" x14ac:dyDescent="0.3">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row>
    <row r="1492" spans="1:19" x14ac:dyDescent="0.3">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row>
    <row r="1493" spans="1:19" x14ac:dyDescent="0.3">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row>
    <row r="1494" spans="1:19" x14ac:dyDescent="0.3">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row>
    <row r="1495" spans="1:19" x14ac:dyDescent="0.3">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row>
    <row r="1496" spans="1:19" x14ac:dyDescent="0.3">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row>
    <row r="1497" spans="1:19" x14ac:dyDescent="0.3">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row>
    <row r="1498" spans="1:19" x14ac:dyDescent="0.3">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row>
    <row r="1499" spans="1:19" x14ac:dyDescent="0.3">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row>
    <row r="1500" spans="1:19" x14ac:dyDescent="0.3">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row>
    <row r="1501" spans="1:19" x14ac:dyDescent="0.3">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94E04-7057-4A26-AF7E-A185C4116E7F}">
  <sheetPr codeName="Sheet2"/>
  <dimension ref="B3:Q29"/>
  <sheetViews>
    <sheetView topLeftCell="B1" workbookViewId="0">
      <selection activeCell="L10" sqref="L10"/>
    </sheetView>
  </sheetViews>
  <sheetFormatPr defaultRowHeight="14.4" x14ac:dyDescent="0.3"/>
  <cols>
    <col min="2" max="2" width="12.5546875" bestFit="1" customWidth="1"/>
    <col min="3" max="3" width="15.88671875" bestFit="1" customWidth="1"/>
    <col min="4" max="4" width="15.44140625" bestFit="1" customWidth="1"/>
    <col min="5" max="5" width="12.5546875" bestFit="1" customWidth="1"/>
    <col min="6" max="6" width="18.6640625" bestFit="1" customWidth="1"/>
    <col min="7" max="7" width="9.6640625" bestFit="1" customWidth="1"/>
    <col min="8" max="8" width="10.77734375" bestFit="1" customWidth="1"/>
    <col min="9" max="9" width="14.88671875" bestFit="1" customWidth="1"/>
    <col min="10" max="10" width="15.5546875" bestFit="1" customWidth="1"/>
    <col min="11" max="11" width="9.6640625" bestFit="1" customWidth="1"/>
    <col min="12" max="12" width="14.88671875" bestFit="1" customWidth="1"/>
    <col min="13" max="15" width="10.33203125" bestFit="1" customWidth="1"/>
    <col min="16" max="16" width="12.5546875" bestFit="1" customWidth="1"/>
    <col min="17" max="17" width="14.88671875" bestFit="1" customWidth="1"/>
    <col min="18" max="742" width="10.33203125" bestFit="1" customWidth="1"/>
    <col min="743" max="743" width="10.77734375" bestFit="1" customWidth="1"/>
    <col min="744" max="756" width="10.33203125" bestFit="1" customWidth="1"/>
    <col min="757" max="757" width="10.77734375" bestFit="1" customWidth="1"/>
  </cols>
  <sheetData>
    <row r="3" spans="2:17" x14ac:dyDescent="0.3">
      <c r="I3" s="3" t="s">
        <v>2927</v>
      </c>
      <c r="J3" t="s">
        <v>2930</v>
      </c>
    </row>
    <row r="4" spans="2:17" x14ac:dyDescent="0.3">
      <c r="I4" s="4" t="s">
        <v>27</v>
      </c>
      <c r="J4">
        <v>2115</v>
      </c>
    </row>
    <row r="5" spans="2:17" x14ac:dyDescent="0.3">
      <c r="I5" s="4" t="s">
        <v>26</v>
      </c>
      <c r="J5">
        <v>2026</v>
      </c>
      <c r="L5" t="s">
        <v>2930</v>
      </c>
    </row>
    <row r="6" spans="2:17" x14ac:dyDescent="0.3">
      <c r="B6" t="s">
        <v>2931</v>
      </c>
      <c r="I6" s="4" t="s">
        <v>24</v>
      </c>
      <c r="J6">
        <v>2408</v>
      </c>
      <c r="L6">
        <v>15616</v>
      </c>
    </row>
    <row r="7" spans="2:17" x14ac:dyDescent="0.3">
      <c r="B7">
        <v>41260.94</v>
      </c>
      <c r="I7" s="4" t="s">
        <v>28</v>
      </c>
      <c r="J7">
        <v>2184</v>
      </c>
      <c r="P7" s="3" t="s">
        <v>2927</v>
      </c>
      <c r="Q7" t="s">
        <v>2930</v>
      </c>
    </row>
    <row r="8" spans="2:17" x14ac:dyDescent="0.3">
      <c r="I8" s="4" t="s">
        <v>25</v>
      </c>
      <c r="J8">
        <v>1970</v>
      </c>
      <c r="P8" s="4" t="s">
        <v>22</v>
      </c>
      <c r="Q8">
        <v>3102</v>
      </c>
    </row>
    <row r="9" spans="2:17" x14ac:dyDescent="0.3">
      <c r="I9" s="4" t="s">
        <v>30</v>
      </c>
      <c r="J9">
        <v>2336</v>
      </c>
      <c r="P9" s="4" t="s">
        <v>19</v>
      </c>
      <c r="Q9">
        <v>3078</v>
      </c>
    </row>
    <row r="10" spans="2:17" x14ac:dyDescent="0.3">
      <c r="E10" s="3" t="s">
        <v>2935</v>
      </c>
      <c r="F10" s="3" t="s">
        <v>2934</v>
      </c>
      <c r="I10" s="4" t="s">
        <v>29</v>
      </c>
      <c r="J10">
        <v>2577</v>
      </c>
      <c r="P10" s="4" t="s">
        <v>21</v>
      </c>
      <c r="Q10">
        <v>3442</v>
      </c>
    </row>
    <row r="11" spans="2:17" x14ac:dyDescent="0.3">
      <c r="B11" t="s">
        <v>2932</v>
      </c>
      <c r="E11" s="3" t="s">
        <v>2927</v>
      </c>
      <c r="F11" t="s">
        <v>36</v>
      </c>
      <c r="G11" t="s">
        <v>35</v>
      </c>
      <c r="H11" t="s">
        <v>2928</v>
      </c>
      <c r="I11" s="4" t="s">
        <v>2928</v>
      </c>
      <c r="J11">
        <v>15616</v>
      </c>
      <c r="L11" t="s">
        <v>2933</v>
      </c>
      <c r="P11" s="4" t="s">
        <v>20</v>
      </c>
      <c r="Q11">
        <v>2953</v>
      </c>
    </row>
    <row r="12" spans="2:17" x14ac:dyDescent="0.3">
      <c r="B12">
        <v>448240.42</v>
      </c>
      <c r="E12" s="4" t="s">
        <v>38</v>
      </c>
      <c r="F12">
        <v>8.7999999999999989</v>
      </c>
      <c r="G12">
        <v>9.3999999999999968</v>
      </c>
      <c r="H12">
        <v>18.200000000000031</v>
      </c>
      <c r="L12">
        <v>4379992.4284999985</v>
      </c>
      <c r="P12" s="4" t="s">
        <v>23</v>
      </c>
      <c r="Q12">
        <v>3041</v>
      </c>
    </row>
    <row r="13" spans="2:17" x14ac:dyDescent="0.3">
      <c r="E13" s="4" t="s">
        <v>42</v>
      </c>
      <c r="F13">
        <v>9.0500000000000025</v>
      </c>
      <c r="G13">
        <v>7.4499999999999966</v>
      </c>
      <c r="H13">
        <v>16.500000000000025</v>
      </c>
      <c r="P13" s="4" t="s">
        <v>2928</v>
      </c>
      <c r="Q13">
        <v>15616</v>
      </c>
    </row>
    <row r="14" spans="2:17" x14ac:dyDescent="0.3">
      <c r="E14" s="4" t="s">
        <v>40</v>
      </c>
      <c r="F14">
        <v>10.050000000000001</v>
      </c>
      <c r="G14">
        <v>9.3999999999999986</v>
      </c>
      <c r="H14">
        <v>19.450000000000021</v>
      </c>
    </row>
    <row r="15" spans="2:17" x14ac:dyDescent="0.3">
      <c r="E15" s="4" t="s">
        <v>41</v>
      </c>
      <c r="F15">
        <v>9.3999999999999986</v>
      </c>
      <c r="G15">
        <v>9.6999999999999975</v>
      </c>
      <c r="H15">
        <v>19.100000000000026</v>
      </c>
    </row>
    <row r="16" spans="2:17" x14ac:dyDescent="0.3">
      <c r="B16" s="3" t="s">
        <v>2927</v>
      </c>
      <c r="C16" t="s">
        <v>2933</v>
      </c>
      <c r="E16" s="4" t="s">
        <v>37</v>
      </c>
      <c r="F16">
        <v>8.9999999999999964</v>
      </c>
      <c r="G16">
        <v>8.0499999999999954</v>
      </c>
      <c r="H16">
        <v>17.05</v>
      </c>
    </row>
    <row r="17" spans="2:12" x14ac:dyDescent="0.3">
      <c r="B17" s="4" t="s">
        <v>38</v>
      </c>
      <c r="C17">
        <v>786165.8400000002</v>
      </c>
      <c r="E17" s="4" t="s">
        <v>39</v>
      </c>
      <c r="F17">
        <v>10.450000000000003</v>
      </c>
      <c r="G17">
        <v>8.9500000000000028</v>
      </c>
      <c r="H17">
        <v>19.400000000000016</v>
      </c>
    </row>
    <row r="18" spans="2:12" x14ac:dyDescent="0.3">
      <c r="B18" s="4" t="s">
        <v>42</v>
      </c>
      <c r="C18">
        <v>796780.52149999957</v>
      </c>
      <c r="E18" s="4" t="s">
        <v>2928</v>
      </c>
      <c r="F18">
        <v>56.749999999999851</v>
      </c>
      <c r="G18">
        <v>52.949999999999854</v>
      </c>
      <c r="H18">
        <v>109.69999999999914</v>
      </c>
    </row>
    <row r="19" spans="2:12" x14ac:dyDescent="0.3">
      <c r="B19" s="4" t="s">
        <v>40</v>
      </c>
      <c r="C19">
        <v>707166.71600000071</v>
      </c>
    </row>
    <row r="20" spans="2:12" x14ac:dyDescent="0.3">
      <c r="B20" s="4" t="s">
        <v>41</v>
      </c>
      <c r="C20">
        <v>676568.2495000005</v>
      </c>
    </row>
    <row r="21" spans="2:12" x14ac:dyDescent="0.3">
      <c r="B21" s="4" t="s">
        <v>37</v>
      </c>
      <c r="C21">
        <v>698669.57950000011</v>
      </c>
    </row>
    <row r="22" spans="2:12" x14ac:dyDescent="0.3">
      <c r="B22" s="4" t="s">
        <v>39</v>
      </c>
      <c r="C22">
        <v>714641.52200000035</v>
      </c>
    </row>
    <row r="23" spans="2:12" x14ac:dyDescent="0.3">
      <c r="B23" s="4" t="s">
        <v>2928</v>
      </c>
      <c r="C23">
        <v>4379992.4284999985</v>
      </c>
      <c r="E23" s="3" t="s">
        <v>2927</v>
      </c>
      <c r="F23" t="s">
        <v>2931</v>
      </c>
      <c r="I23" s="3" t="s">
        <v>2935</v>
      </c>
      <c r="J23" s="3" t="s">
        <v>2934</v>
      </c>
    </row>
    <row r="24" spans="2:12" x14ac:dyDescent="0.3">
      <c r="E24" s="4" t="s">
        <v>47</v>
      </c>
      <c r="F24">
        <v>8592.61</v>
      </c>
      <c r="I24" s="3" t="s">
        <v>2927</v>
      </c>
      <c r="J24" t="s">
        <v>36</v>
      </c>
      <c r="K24" t="s">
        <v>35</v>
      </c>
      <c r="L24" t="s">
        <v>2928</v>
      </c>
    </row>
    <row r="25" spans="2:12" x14ac:dyDescent="0.3">
      <c r="E25" s="4" t="s">
        <v>45</v>
      </c>
      <c r="F25">
        <v>8277.11</v>
      </c>
      <c r="I25" s="4" t="s">
        <v>2936</v>
      </c>
      <c r="J25">
        <v>20.95000000000001</v>
      </c>
      <c r="K25">
        <v>20.800000000000047</v>
      </c>
      <c r="L25">
        <v>41.749999999999972</v>
      </c>
    </row>
    <row r="26" spans="2:12" x14ac:dyDescent="0.3">
      <c r="E26" s="4" t="s">
        <v>46</v>
      </c>
      <c r="F26">
        <v>7975.09</v>
      </c>
      <c r="I26" s="4" t="s">
        <v>2937</v>
      </c>
      <c r="J26">
        <v>21.250000000000036</v>
      </c>
      <c r="K26">
        <v>21.150000000000031</v>
      </c>
      <c r="L26">
        <v>42.39999999999997</v>
      </c>
    </row>
    <row r="27" spans="2:12" x14ac:dyDescent="0.3">
      <c r="E27" s="4" t="s">
        <v>44</v>
      </c>
      <c r="F27">
        <v>7428.85</v>
      </c>
      <c r="I27" s="4" t="s">
        <v>2938</v>
      </c>
      <c r="J27">
        <v>14.550000000000015</v>
      </c>
      <c r="K27">
        <v>11.000000000000005</v>
      </c>
      <c r="L27">
        <v>25.550000000000058</v>
      </c>
    </row>
    <row r="28" spans="2:12" x14ac:dyDescent="0.3">
      <c r="E28" s="4" t="s">
        <v>43</v>
      </c>
      <c r="F28">
        <v>8987.2800000000007</v>
      </c>
      <c r="I28" s="4" t="s">
        <v>2928</v>
      </c>
      <c r="J28">
        <v>56.749999999999851</v>
      </c>
      <c r="K28">
        <v>52.949999999999854</v>
      </c>
      <c r="L28">
        <v>109.69999999999914</v>
      </c>
    </row>
    <row r="29" spans="2:12" x14ac:dyDescent="0.3">
      <c r="E29" s="4" t="s">
        <v>2928</v>
      </c>
      <c r="F29">
        <v>41260.94</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406F5F-CF5F-4DD8-A916-84DC7B74DC20}">
  <sheetPr codeName="Sheet3"/>
  <dimension ref="I1"/>
  <sheetViews>
    <sheetView tabSelected="1" zoomScale="40" zoomScaleNormal="40" workbookViewId="0">
      <selection activeCell="AJ15" sqref="AJ15"/>
    </sheetView>
  </sheetViews>
  <sheetFormatPr defaultRowHeight="14.4" x14ac:dyDescent="0.3"/>
  <cols>
    <col min="9" max="9"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dasahboard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Surbhi Yuvgavkar</dc:creator>
  <cp:lastModifiedBy>Surbhi Yuvgavkar</cp:lastModifiedBy>
  <dcterms:created xsi:type="dcterms:W3CDTF">2025-06-21T13:19:11Z</dcterms:created>
  <dcterms:modified xsi:type="dcterms:W3CDTF">2026-10-07T18:30:44Z</dcterms:modified>
</cp:coreProperties>
</file>